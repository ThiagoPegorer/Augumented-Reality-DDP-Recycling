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laude\Projects\AR_DPP\LCA_Analysis\"/>
    </mc:Choice>
  </mc:AlternateContent>
  <xr:revisionPtr revIDLastSave="0" documentId="13_ncr:1_{86B243D9-D3EA-4657-AE2A-E3343CE9C9F4}" xr6:coauthVersionLast="47" xr6:coauthVersionMax="47" xr10:uidLastSave="{00000000-0000-0000-0000-000000000000}"/>
  <bookViews>
    <workbookView xWindow="-108" yWindow="-108" windowWidth="23256" windowHeight="12456" tabRatio="500" firstSheet="3" activeTab="4" xr2:uid="{00000000-000D-0000-FFFF-FFFF00000000}"/>
  </bookViews>
  <sheets>
    <sheet name="README" sheetId="1" r:id="rId1"/>
    <sheet name="Framework" sheetId="2" r:id="rId2"/>
    <sheet name="BOM_Data" sheetId="3" r:id="rId3"/>
    <sheet name="By_Component" sheetId="4" r:id="rId4"/>
    <sheet name="By_Materi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5" l="1"/>
  <c r="D17" i="5" s="1"/>
  <c r="B16" i="5"/>
  <c r="D16" i="5" s="1"/>
  <c r="B15" i="5"/>
  <c r="D15" i="5" s="1"/>
  <c r="B14" i="5"/>
  <c r="D14" i="5" s="1"/>
  <c r="B13" i="5"/>
  <c r="D13" i="5" s="1"/>
  <c r="B12" i="5"/>
  <c r="D12" i="5" s="1"/>
  <c r="B11" i="5"/>
  <c r="D11" i="5" s="1"/>
  <c r="B10" i="5"/>
  <c r="D10" i="5" s="1"/>
  <c r="B9" i="5"/>
  <c r="D9" i="5" s="1"/>
  <c r="D8" i="5"/>
  <c r="B8" i="5"/>
  <c r="C8" i="5" s="1"/>
  <c r="D7" i="5"/>
  <c r="B7" i="5"/>
  <c r="C7" i="5" s="1"/>
  <c r="B6" i="5"/>
  <c r="D6" i="5" s="1"/>
  <c r="B5" i="5"/>
  <c r="D5" i="5" s="1"/>
  <c r="D4" i="5"/>
  <c r="B4" i="5"/>
  <c r="B3" i="5"/>
  <c r="C4" i="5" s="1"/>
  <c r="D2" i="5"/>
  <c r="B2" i="5"/>
  <c r="B18" i="5" s="1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R18" i="4" s="1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R17" i="4" s="1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R16" i="4" s="1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R15" i="4" s="1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R14" i="4" s="1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R13" i="4" s="1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R12" i="4" s="1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R11" i="4" s="1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R10" i="4" s="1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R9" i="4" s="1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R8" i="4" s="1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R7" i="4" s="1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R6" i="4" s="1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R5" i="4" s="1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R4" i="4" s="1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R3" i="4" s="1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R2" i="4" s="1"/>
  <c r="R19" i="4" s="1"/>
  <c r="C2" i="5" l="1"/>
  <c r="C13" i="5"/>
  <c r="C3" i="5"/>
  <c r="D3" i="5"/>
  <c r="C14" i="5"/>
  <c r="C9" i="5"/>
  <c r="C15" i="5"/>
  <c r="C10" i="5"/>
  <c r="C5" i="5"/>
  <c r="C16" i="5"/>
  <c r="C11" i="5"/>
  <c r="C6" i="5"/>
  <c r="C17" i="5"/>
  <c r="C12" i="5"/>
</calcChain>
</file>

<file path=xl/sharedStrings.xml><?xml version="1.0" encoding="utf-8"?>
<sst xmlns="http://schemas.openxmlformats.org/spreadsheetml/2006/main" count="268" uniqueCount="119">
  <si>
    <t>VCU Bill of Materials v4.1 — workbook</t>
  </si>
  <si>
    <t>Sheets:</t>
  </si>
  <si>
    <t>Framework</t>
  </si>
  <si>
    <t>Key facts of the LCA framework (goal, FU, stages, methods, conventions)</t>
  </si>
  <si>
    <t>BOM_Data</t>
  </si>
  <si>
    <t>Tidy long-format data (one row per component-material pair) — PIVOT SOURCE: select all, Insert &gt; PivotTable</t>
  </si>
  <si>
    <t>By_Component</t>
  </si>
  <si>
    <t>Material x component matrix (SUMIFS formulas) + stacked composition chart</t>
  </si>
  <si>
    <t>By_Material</t>
  </si>
  <si>
    <t>Material totals for the whole 660 g device + % of device + charts (majors in g, trace in mg)</t>
  </si>
  <si>
    <t>Source tags:</t>
  </si>
  <si>
    <t>[D]=datasheet  [L]=literature  [R]=regulatory  [A]=assumption (declared, with range)</t>
  </si>
  <si>
    <t>Full citations:</t>
  </si>
  <si>
    <t>See BOM_v4.md Notes section (Zhu 2023 doi:10.1016/j.psep.2023.03.018; Lee 2012 doi:10.1016/j.jhazmat.2012.09.053; Oke &amp; Potgieter 2024 doi:10.1007/s10163-024-01917-7; M-CAL/TE connector specs)</t>
  </si>
  <si>
    <t>Note:</t>
  </si>
  <si>
    <t>Central values shown; ranges are Monte Carlo inputs. Sums close to ~660 g (datasheet total).</t>
  </si>
  <si>
    <t>LCA framework v4 — key facts (full text: LCA_framework_v4.md)</t>
  </si>
  <si>
    <t>Goal</t>
  </si>
  <si>
    <t>Multi-impact footprint of 1 VCU, cradle-to-grave; compare EoL strategies; AR-DPP intervenes at dismantling &amp; separation (gateway of recycling)</t>
  </si>
  <si>
    <t>Functional unit</t>
  </si>
  <si>
    <t>1 VCU in a BEV in Germany, 15 years x 15,000 km/yr (225,000 km); temporal boundary = vehicle EoL, not race maintenance</t>
  </si>
  <si>
    <t>Stage 1</t>
  </si>
  <si>
    <t>Materials &amp; Construction — cradle-to-Bosch-gate incl. component manufacturing; inbound transport embedded in ecoinvent market datasets</t>
  </si>
  <si>
    <t>Stage 2</t>
  </si>
  <si>
    <t>Hardware assembly (Bosch): die-casting, SMT/solder, test — process energy only; software excluded by declaration</t>
  </si>
  <si>
    <t>Stage 3</t>
  </si>
  <si>
    <t>Distribution Bosch -&gt; OEM (short truck leg)</t>
  </si>
  <si>
    <t>Stage 4</t>
  </si>
  <si>
    <t>Use: VCU's own electricity only (48 W max, duty cycle TBD), German grid; carried-mass energy excluded</t>
  </si>
  <si>
    <t>Stage 5</t>
  </si>
  <si>
    <t>End-of-Life scenarios: Sc1 no recycling (as built) / Sc2 current practice / Sc3 AR-guided dismantling / Sc4 full disassembly+reuse — Sc2-4 datasets+literature</t>
  </si>
  <si>
    <t>Database</t>
  </si>
  <si>
    <t>ecoinvent 3.8 APOS, openLCA 2.6.2, IPC-scripted build</t>
  </si>
  <si>
    <t>Recycling benefit</t>
  </si>
  <si>
    <t>Explicit at EoL: recovered mass x recovery rate x avoided virgin production, reported as SAVING (net = gross - saving)</t>
  </si>
  <si>
    <t>Methods</t>
  </si>
  <si>
    <t>EF 3.1 (primary; screening by normalization+weighting, &gt;=80% rule; resource-minerals&amp;metals + climate pinned) + ReCiPe 2016 Midpoint (H) + Endpoint (H,A)</t>
  </si>
  <si>
    <t>Data quality</t>
  </si>
  <si>
    <t>Every number tagged [D]/[L]/[R]/[A]; 1% cut-off unless impact-relevant; no untagged numbers</t>
  </si>
  <si>
    <t>Comp#</t>
  </si>
  <si>
    <t>Component</t>
  </si>
  <si>
    <t>Material</t>
  </si>
  <si>
    <t>Mass_g</t>
  </si>
  <si>
    <t>CompTotal_g</t>
  </si>
  <si>
    <t>CompMin_g</t>
  </si>
  <si>
    <t>CompMax_g</t>
  </si>
  <si>
    <t>MassTag</t>
  </si>
  <si>
    <t>Housing (HPDC, 2 shells)</t>
  </si>
  <si>
    <t>Aluminium</t>
  </si>
  <si>
    <t>[A] geometry</t>
  </si>
  <si>
    <t>Fasteners</t>
  </si>
  <si>
    <t>Steel/Fe</t>
  </si>
  <si>
    <t>[A]</t>
  </si>
  <si>
    <t>Bare PCB 4-layer</t>
  </si>
  <si>
    <t>Glass fibre</t>
  </si>
  <si>
    <t>[A+ind.spec]</t>
  </si>
  <si>
    <t>Polymers/epoxy</t>
  </si>
  <si>
    <t>Copper</t>
  </si>
  <si>
    <t>Connectors 3x AS018-35</t>
  </si>
  <si>
    <t>[A] split of sourced 150 g</t>
  </si>
  <si>
    <t>[A] split</t>
  </si>
  <si>
    <t>Silicone</t>
  </si>
  <si>
    <t>Nickel</t>
  </si>
  <si>
    <t>Gold</t>
  </si>
  <si>
    <t>[A] plating calc</t>
  </si>
  <si>
    <t>Processors 2x FCBGA</t>
  </si>
  <si>
    <t>Silicon</t>
  </si>
  <si>
    <t>Tin (solder)</t>
  </si>
  <si>
    <t>Other</t>
  </si>
  <si>
    <t>Flash 2x 4GB</t>
  </si>
  <si>
    <t>MEMS IMU + pressure</t>
  </si>
  <si>
    <t>Ceramics</t>
  </si>
  <si>
    <t>Power stages 6x</t>
  </si>
  <si>
    <t>[A], count [D]</t>
  </si>
  <si>
    <t>Regulators ~10x</t>
  </si>
  <si>
    <t>Comm transceivers ~10x</t>
  </si>
  <si>
    <t>Analog front-end 4-8x</t>
  </si>
  <si>
    <t>Ta capacitors 4-16x</t>
  </si>
  <si>
    <t>Tantalum</t>
  </si>
  <si>
    <t>[L] 30-40 wt% x [A] count/mass</t>
  </si>
  <si>
    <t>[A] MnO2/epoxy/Ag rest</t>
  </si>
  <si>
    <t>Passives/misc on-board</t>
  </si>
  <si>
    <t>[A] residual, shares [L] Lee 2012</t>
  </si>
  <si>
    <t>Mixed terminations</t>
  </si>
  <si>
    <t>[L] Zhu 3.6% of board</t>
  </si>
  <si>
    <t>[L] Zhu 2.4% of board</t>
  </si>
  <si>
    <t>[L] Zhu 230 ppm of board</t>
  </si>
  <si>
    <t>Silver</t>
  </si>
  <si>
    <t>[L] Zhu 430 ppm of board</t>
  </si>
  <si>
    <t>Palladium</t>
  </si>
  <si>
    <t>[L] Zhu 40 ppm of board</t>
  </si>
  <si>
    <t>Solder joints (SAC305)</t>
  </si>
  <si>
    <t>[L] Zhu 2.8% of board; Pb-free [R]</t>
  </si>
  <si>
    <t>Thermal interface material</t>
  </si>
  <si>
    <t>Conformal coating</t>
  </si>
  <si>
    <t>Labels/adhesives/misc</t>
  </si>
  <si>
    <t>[A] balancing</t>
  </si>
  <si>
    <t>Total_g</t>
  </si>
  <si>
    <t>DEVICE TOTAL</t>
  </si>
  <si>
    <t>% of device</t>
  </si>
  <si>
    <t>Mass_mg</t>
  </si>
  <si>
    <t>Found in components</t>
  </si>
  <si>
    <t>Housing; Connector shells; on-board (passives)</t>
  </si>
  <si>
    <t>PCB foils; contacts; leadframes; terminations</t>
  </si>
  <si>
    <t>FR-4 resin; molds; inserts; coating; labels</t>
  </si>
  <si>
    <t>Bare PCB</t>
  </si>
  <si>
    <t>MLCCs/passives; IMU</t>
  </si>
  <si>
    <t>Fasteners; leads/shields</t>
  </si>
  <si>
    <t>TIM; connector seals</t>
  </si>
  <si>
    <t>Solder joints; package balls</t>
  </si>
  <si>
    <t>Semiconductor dies</t>
  </si>
  <si>
    <t>Passive terminations (Ni/Sn/Ag/Cu)</t>
  </si>
  <si>
    <t>Connector underplating; board</t>
  </si>
  <si>
    <t>Ta capacitors</t>
  </si>
  <si>
    <t>Board (230 ppm [L]); connector plating [A]</t>
  </si>
  <si>
    <t>Solder/terminations (430 ppm [L])</t>
  </si>
  <si>
    <t>MLCC terminations (40 ppm [L])</t>
  </si>
  <si>
    <t>Processors misc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</si>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</sst>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5" fillId="2" borderId="0" xfId="0" applyFont="1" applyFill="1"/>
    <xf numFmtId="2" fontId="2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9AFC9"/>
      <rgbColor rgb="FF878787"/>
      <rgbColor rgb="FF9999FF"/>
      <rgbColor rgb="FF9F423F"/>
      <rgbColor rgb="FFFFFFCC"/>
      <rgbColor rgb="FFCCFFFF"/>
      <rgbColor rgb="FF660066"/>
      <rgbColor rgb="FFCC7C3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BAD7"/>
      <rgbColor rgb="FFD8AAA9"/>
      <rgbColor rgb="FFCC99FF"/>
      <rgbColor rgb="FFC5D6AC"/>
      <rgbColor rgb="FF416A9C"/>
      <rgbColor rgb="FF4BACC6"/>
      <rgbColor rgb="FF9BBB59"/>
      <rgbColor rgb="FFFFCC00"/>
      <rgbColor rgb="FFF79646"/>
      <rgbColor rgb="FFFF6600"/>
      <rgbColor rgb="FF8064A2"/>
      <rgbColor rgb="FF809B49"/>
      <rgbColor rgb="FF1F3864"/>
      <rgbColor rgb="FF3E8EA4"/>
      <rgbColor rgb="FF003300"/>
      <rgbColor rgb="FF333300"/>
      <rgbColor rgb="FF993300"/>
      <rgbColor rgb="FFC0504D"/>
      <rgbColor rgb="FF6A528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Material composition per component (g, central values)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By_Component!$B$1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rgbClr val="416A9C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By_Component!$B$2:$B$18</c:f>
              <c:numCache>
                <c:formatCode>0.00</c:formatCode>
                <c:ptCount val="17"/>
                <c:pt idx="0">
                  <c:v>344</c:v>
                </c:pt>
                <c:pt idx="1">
                  <c:v>0</c:v>
                </c:pt>
                <c:pt idx="2">
                  <c:v>0</c:v>
                </c:pt>
                <c:pt idx="3">
                  <c:v>95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F-4EBE-AAEE-4D9A0DED5C71}"/>
            </c:ext>
          </c:extLst>
        </c:ser>
        <c:ser>
          <c:idx val="1"/>
          <c:order val="1"/>
          <c:tx>
            <c:strRef>
              <c:f>By_Component!$C$1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rgbClr val="9F423F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By_Component!$C$2:$C$18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35</c:v>
                </c:pt>
                <c:pt idx="4">
                  <c:v>1.7</c:v>
                </c:pt>
                <c:pt idx="5">
                  <c:v>0.25</c:v>
                </c:pt>
                <c:pt idx="6">
                  <c:v>0.2</c:v>
                </c:pt>
                <c:pt idx="7">
                  <c:v>4.5</c:v>
                </c:pt>
                <c:pt idx="8">
                  <c:v>1.2</c:v>
                </c:pt>
                <c:pt idx="9">
                  <c:v>0.5</c:v>
                </c:pt>
                <c:pt idx="10">
                  <c:v>0.4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F-4EBE-AAEE-4D9A0DED5C71}"/>
            </c:ext>
          </c:extLst>
        </c:ser>
        <c:ser>
          <c:idx val="2"/>
          <c:order val="2"/>
          <c:tx>
            <c:strRef>
              <c:f>By_Component!$D$1</c:f>
              <c:strCache>
                <c:ptCount val="1"/>
                <c:pt idx="0">
                  <c:v>Polymers/epoxy</c:v>
                </c:pt>
              </c:strCache>
            </c:strRef>
          </c:tx>
          <c:spPr>
            <a:solidFill>
              <a:srgbClr val="809B4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By_Component!$D$2:$D$18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15</c:v>
                </c:pt>
                <c:pt idx="4">
                  <c:v>3.5</c:v>
                </c:pt>
                <c:pt idx="5">
                  <c:v>0.5</c:v>
                </c:pt>
                <c:pt idx="6">
                  <c:v>0</c:v>
                </c:pt>
                <c:pt idx="7">
                  <c:v>3.6</c:v>
                </c:pt>
                <c:pt idx="8">
                  <c:v>1.5</c:v>
                </c:pt>
                <c:pt idx="9">
                  <c:v>0.85</c:v>
                </c:pt>
                <c:pt idx="10">
                  <c:v>0.7</c:v>
                </c:pt>
                <c:pt idx="11">
                  <c:v>1.6</c:v>
                </c:pt>
                <c:pt idx="12">
                  <c:v>1.6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F-4EBE-AAEE-4D9A0DED5C71}"/>
            </c:ext>
          </c:extLst>
        </c:ser>
        <c:ser>
          <c:idx val="3"/>
          <c:order val="3"/>
          <c:tx>
            <c:strRef>
              <c:f>By_Component!$E$1</c:f>
              <c:strCache>
                <c:ptCount val="1"/>
                <c:pt idx="0">
                  <c:v>Glass fibre</c:v>
                </c:pt>
              </c:strCache>
            </c:strRef>
          </c:tx>
          <c:spPr>
            <a:solidFill>
              <a:srgbClr val="6A528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By_Component!$E$2:$E$18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F-4EBE-AAEE-4D9A0DED5C71}"/>
            </c:ext>
          </c:extLst>
        </c:ser>
        <c:ser>
          <c:idx val="4"/>
          <c:order val="4"/>
          <c:tx>
            <c:strRef>
              <c:f>By_Component!$F$1</c:f>
              <c:strCache>
                <c:ptCount val="1"/>
                <c:pt idx="0">
                  <c:v>Ceramics</c:v>
                </c:pt>
              </c:strCache>
            </c:strRef>
          </c:tx>
          <c:spPr>
            <a:solidFill>
              <a:srgbClr val="3E8EA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By_Component!$F$2:$F$18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CF-4EBE-AAEE-4D9A0DED5C71}"/>
            </c:ext>
          </c:extLst>
        </c:ser>
        <c:ser>
          <c:idx val="5"/>
          <c:order val="5"/>
          <c:tx>
            <c:strRef>
              <c:f>By_Component!$G$1</c:f>
              <c:strCache>
                <c:ptCount val="1"/>
                <c:pt idx="0">
                  <c:v>Steel/Fe</c:v>
                </c:pt>
              </c:strCache>
            </c:strRef>
          </c:tx>
          <c:spPr>
            <a:solidFill>
              <a:srgbClr val="CC7C3A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By_Component!$G$2:$G$18</c:f>
              <c:numCache>
                <c:formatCode>0.00</c:formatCode>
                <c:ptCount val="17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CF-4EBE-AAEE-4D9A0DED5C71}"/>
            </c:ext>
          </c:extLst>
        </c:ser>
        <c:ser>
          <c:idx val="6"/>
          <c:order val="6"/>
          <c:tx>
            <c:strRef>
              <c:f>By_Component!$H$1</c:f>
              <c:strCache>
                <c:ptCount val="1"/>
                <c:pt idx="0">
                  <c:v>Silicone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By_Component!$H$2:$H$18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CF-4EBE-AAEE-4D9A0DED5C71}"/>
            </c:ext>
          </c:extLst>
        </c:ser>
        <c:ser>
          <c:idx val="7"/>
          <c:order val="7"/>
          <c:tx>
            <c:strRef>
              <c:f>By_Component!$I$1</c:f>
              <c:strCache>
                <c:ptCount val="1"/>
                <c:pt idx="0">
                  <c:v>Tin (solder)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By_Component!$I$2:$I$18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CF-4EBE-AAEE-4D9A0DED5C71}"/>
            </c:ext>
          </c:extLst>
        </c:ser>
        <c:ser>
          <c:idx val="8"/>
          <c:order val="8"/>
          <c:tx>
            <c:strRef>
              <c:f>By_Component!$J$1</c:f>
              <c:strCache>
                <c:ptCount val="1"/>
                <c:pt idx="0">
                  <c:v>Silicon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By_Component!$J$2:$J$18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</c:v>
                </c:pt>
                <c:pt idx="5">
                  <c:v>0.15</c:v>
                </c:pt>
                <c:pt idx="6">
                  <c:v>0.2</c:v>
                </c:pt>
                <c:pt idx="7">
                  <c:v>0.9</c:v>
                </c:pt>
                <c:pt idx="8">
                  <c:v>0.3</c:v>
                </c:pt>
                <c:pt idx="9">
                  <c:v>0.15</c:v>
                </c:pt>
                <c:pt idx="10">
                  <c:v>0.1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CF-4EBE-AAEE-4D9A0DED5C71}"/>
            </c:ext>
          </c:extLst>
        </c:ser>
        <c:ser>
          <c:idx val="9"/>
          <c:order val="9"/>
          <c:tx>
            <c:strRef>
              <c:f>By_Component!$K$1</c:f>
              <c:strCache>
                <c:ptCount val="1"/>
                <c:pt idx="0">
                  <c:v>Mixed terminations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By_Component!$K$2:$K$18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ACF-4EBE-AAEE-4D9A0DED5C71}"/>
            </c:ext>
          </c:extLst>
        </c:ser>
        <c:ser>
          <c:idx val="10"/>
          <c:order val="10"/>
          <c:tx>
            <c:strRef>
              <c:f>By_Component!$L$1</c:f>
              <c:strCache>
                <c:ptCount val="1"/>
                <c:pt idx="0">
                  <c:v>Nickel</c:v>
                </c:pt>
              </c:strCache>
            </c:strRef>
          </c:tx>
          <c:spPr>
            <a:solidFill>
              <a:srgbClr val="4BACC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By_Component!$L$2:$L$18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CF-4EBE-AAEE-4D9A0DED5C71}"/>
            </c:ext>
          </c:extLst>
        </c:ser>
        <c:ser>
          <c:idx val="11"/>
          <c:order val="11"/>
          <c:tx>
            <c:strRef>
              <c:f>By_Component!$M$1</c:f>
              <c:strCache>
                <c:ptCount val="1"/>
                <c:pt idx="0">
                  <c:v>Tantalum</c:v>
                </c:pt>
              </c:strCache>
            </c:strRef>
          </c:tx>
          <c:spPr>
            <a:solidFill>
              <a:srgbClr val="F79646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By_Component!$M$2:$M$18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ACF-4EBE-AAEE-4D9A0DED5C71}"/>
            </c:ext>
          </c:extLst>
        </c:ser>
        <c:ser>
          <c:idx val="12"/>
          <c:order val="12"/>
          <c:tx>
            <c:strRef>
              <c:f>By_Component!$N$1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rgbClr val="AABAD7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By_Component!$N$2:$N$18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3.1699999999999999E-2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ACF-4EBE-AAEE-4D9A0DED5C71}"/>
            </c:ext>
          </c:extLst>
        </c:ser>
        <c:ser>
          <c:idx val="13"/>
          <c:order val="13"/>
          <c:tx>
            <c:strRef>
              <c:f>By_Component!$O$1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D8AAA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By_Component!$O$2:$O$18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5.9299999999999999E-2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F-4EBE-AAEE-4D9A0DED5C71}"/>
            </c:ext>
          </c:extLst>
        </c:ser>
        <c:ser>
          <c:idx val="14"/>
          <c:order val="14"/>
          <c:tx>
            <c:strRef>
              <c:f>By_Component!$P$1</c:f>
              <c:strCache>
                <c:ptCount val="1"/>
                <c:pt idx="0">
                  <c:v>Palladium</c:v>
                </c:pt>
              </c:strCache>
            </c:strRef>
          </c:tx>
          <c:spPr>
            <a:solidFill>
              <a:srgbClr val="C5D6AC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By_Component!$P$2:$P$18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5.4999999999999997E-3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ACF-4EBE-AAEE-4D9A0DED5C71}"/>
            </c:ext>
          </c:extLst>
        </c:ser>
        <c:ser>
          <c:idx val="15"/>
          <c:order val="15"/>
          <c:tx>
            <c:strRef>
              <c:f>By_Component!$Q$1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B9AFC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By_Component!$A$2:$A$18</c:f>
              <c:strCache>
                <c:ptCount val="17"/>
                <c:pt idx="0">
                  <c:v>Housing (HPDC, 2 shells)</c:v>
                </c:pt>
                <c:pt idx="1">
                  <c:v>Fasteners</c:v>
                </c:pt>
                <c:pt idx="2">
                  <c:v>Bare PCB 4-layer</c:v>
                </c:pt>
                <c:pt idx="3">
                  <c:v>Connectors 3x AS018-35</c:v>
                </c:pt>
                <c:pt idx="4">
                  <c:v>Processors 2x FCBGA</c:v>
                </c:pt>
                <c:pt idx="5">
                  <c:v>Flash 2x 4GB</c:v>
                </c:pt>
                <c:pt idx="6">
                  <c:v>MEMS IMU + pressure</c:v>
                </c:pt>
                <c:pt idx="7">
                  <c:v>Power stages 6x</c:v>
                </c:pt>
                <c:pt idx="8">
                  <c:v>Regulators ~10x</c:v>
                </c:pt>
                <c:pt idx="9">
                  <c:v>Comm transceivers ~10x</c:v>
                </c:pt>
                <c:pt idx="10">
                  <c:v>Analog front-end 4-8x</c:v>
                </c:pt>
                <c:pt idx="11">
                  <c:v>Ta capacitors 4-16x</c:v>
                </c:pt>
                <c:pt idx="12">
                  <c:v>Passives/misc on-board</c:v>
                </c:pt>
                <c:pt idx="13">
                  <c:v>Solder joints (SAC305)</c:v>
                </c:pt>
                <c:pt idx="14">
                  <c:v>Thermal interface material</c:v>
                </c:pt>
                <c:pt idx="15">
                  <c:v>Conformal coating</c:v>
                </c:pt>
                <c:pt idx="16">
                  <c:v>Labels/adhesives/misc</c:v>
                </c:pt>
              </c:strCache>
            </c:strRef>
          </c:cat>
          <c:val>
            <c:numRef>
              <c:f>By_Component!$Q$2:$Q$18</c:f>
              <c:numCache>
                <c:formatCode>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ACF-4EBE-AAEE-4D9A0DED5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902204"/>
        <c:axId val="78256913"/>
      </c:barChart>
      <c:catAx>
        <c:axId val="659022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DE"/>
          </a:p>
        </c:txPr>
        <c:crossAx val="78256913"/>
        <c:crosses val="autoZero"/>
        <c:auto val="1"/>
        <c:lblAlgn val="ctr"/>
        <c:lblOffset val="100"/>
        <c:noMultiLvlLbl val="0"/>
      </c:catAx>
      <c:valAx>
        <c:axId val="78256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DE"/>
          </a:p>
        </c:txPr>
        <c:crossAx val="659022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Major materials (g) — whole device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By_Material!$B$1</c:f>
              <c:strCache>
                <c:ptCount val="1"/>
                <c:pt idx="0">
                  <c:v>Mass_g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By_Material!$A$2:$A$10</c:f>
              <c:strCache>
                <c:ptCount val="9"/>
                <c:pt idx="0">
                  <c:v>Aluminium</c:v>
                </c:pt>
                <c:pt idx="1">
                  <c:v>Copper</c:v>
                </c:pt>
                <c:pt idx="2">
                  <c:v>Polymers/epoxy</c:v>
                </c:pt>
                <c:pt idx="3">
                  <c:v>Glass fibre</c:v>
                </c:pt>
                <c:pt idx="4">
                  <c:v>Ceramics</c:v>
                </c:pt>
                <c:pt idx="5">
                  <c:v>Steel/Fe</c:v>
                </c:pt>
                <c:pt idx="6">
                  <c:v>Silicone</c:v>
                </c:pt>
                <c:pt idx="7">
                  <c:v>Tin (solder)</c:v>
                </c:pt>
                <c:pt idx="8">
                  <c:v>Silicon</c:v>
                </c:pt>
              </c:strCache>
            </c:strRef>
          </c:cat>
          <c:val>
            <c:numRef>
              <c:f>By_Material!$B$2:$B$10</c:f>
              <c:numCache>
                <c:formatCode>0.000</c:formatCode>
                <c:ptCount val="9"/>
                <c:pt idx="0">
                  <c:v>442.3</c:v>
                </c:pt>
                <c:pt idx="1">
                  <c:v>57.750000000000007</c:v>
                </c:pt>
                <c:pt idx="2">
                  <c:v>56.850000000000009</c:v>
                </c:pt>
                <c:pt idx="3">
                  <c:v>29</c:v>
                </c:pt>
                <c:pt idx="4">
                  <c:v>25.6</c:v>
                </c:pt>
                <c:pt idx="5">
                  <c:v>17</c:v>
                </c:pt>
                <c:pt idx="6">
                  <c:v>12.5</c:v>
                </c:pt>
                <c:pt idx="7">
                  <c:v>4.5999999999999996</c:v>
                </c:pt>
                <c:pt idx="8">
                  <c:v>2.6999999999999997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5-4EDD-BF49-3DEFCD914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50797"/>
        <c:axId val="87974062"/>
      </c:barChart>
      <c:catAx>
        <c:axId val="79550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DE"/>
          </a:p>
        </c:txPr>
        <c:crossAx val="87974062"/>
        <c:crosses val="autoZero"/>
        <c:auto val="1"/>
        <c:lblAlgn val="ctr"/>
        <c:lblOffset val="100"/>
        <c:noMultiLvlLbl val="0"/>
      </c:catAx>
      <c:valAx>
        <c:axId val="87974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DE"/>
          </a:p>
        </c:txPr>
        <c:crossAx val="795507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Trace metals (mg) — whole device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By_Material!$A$12:$A$16</c:f>
              <c:strCache>
                <c:ptCount val="5"/>
                <c:pt idx="0">
                  <c:v>Nickel</c:v>
                </c:pt>
                <c:pt idx="1">
                  <c:v>Tantalum</c:v>
                </c:pt>
                <c:pt idx="2">
                  <c:v>Gold</c:v>
                </c:pt>
                <c:pt idx="3">
                  <c:v>Silver</c:v>
                </c:pt>
                <c:pt idx="4">
                  <c:v>Palladium</c:v>
                </c:pt>
              </c:strCache>
            </c:strRef>
          </c:cat>
          <c:val>
            <c:numRef>
              <c:f>By_Material!$D$11:$D$16</c:f>
              <c:numCache>
                <c:formatCode>0</c:formatCode>
                <c:ptCount val="6"/>
                <c:pt idx="0">
                  <c:v>10000</c:v>
                </c:pt>
                <c:pt idx="1">
                  <c:v>500</c:v>
                </c:pt>
                <c:pt idx="2">
                  <c:v>900</c:v>
                </c:pt>
                <c:pt idx="3">
                  <c:v>91.7</c:v>
                </c:pt>
                <c:pt idx="4">
                  <c:v>59.3</c:v>
                </c:pt>
                <c:pt idx="5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C-4EB1-AC8F-EEE475E42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374345"/>
        <c:axId val="99493512"/>
      </c:barChart>
      <c:catAx>
        <c:axId val="583743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DE"/>
          </a:p>
        </c:txPr>
        <c:crossAx val="99493512"/>
        <c:crosses val="autoZero"/>
        <c:auto val="1"/>
        <c:lblAlgn val="ctr"/>
        <c:lblOffset val="100"/>
        <c:noMultiLvlLbl val="0"/>
      </c:catAx>
      <c:valAx>
        <c:axId val="99493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DE"/>
          </a:p>
        </c:txPr>
        <c:crossAx val="583743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14</xdr:col>
      <xdr:colOff>112560</xdr:colOff>
      <xdr:row>43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4680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16</xdr:col>
      <xdr:colOff>4680</xdr:colOff>
      <xdr:row>39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E17" sqref="E17"/>
    </sheetView>
  </sheetViews>
  <sheetFormatPr defaultColWidth="8.6640625" defaultRowHeight="14.4" x14ac:dyDescent="0.3"/>
  <cols>
    <col min="1" max="1" width="16" style="15" customWidth="1"/>
    <col min="2" max="2" width="90.77734375" style="15" customWidth="1"/>
    <col min="3" max="16384" width="8.6640625" style="15"/>
  </cols>
  <sheetData>
    <row r="1" spans="1:2" ht="17.399999999999999" x14ac:dyDescent="0.3">
      <c r="A1" s="13" t="s">
        <v>0</v>
      </c>
      <c r="B1" s="14"/>
    </row>
    <row r="2" spans="1:2" x14ac:dyDescent="0.3">
      <c r="A2" s="16"/>
      <c r="B2" s="14"/>
    </row>
    <row r="3" spans="1:2" x14ac:dyDescent="0.3">
      <c r="A3" s="16" t="s">
        <v>1</v>
      </c>
      <c r="B3" s="14"/>
    </row>
    <row r="4" spans="1:2" x14ac:dyDescent="0.3">
      <c r="A4" s="16" t="s">
        <v>2</v>
      </c>
      <c r="B4" s="14" t="s">
        <v>3</v>
      </c>
    </row>
    <row r="5" spans="1:2" x14ac:dyDescent="0.3">
      <c r="A5" s="16" t="s">
        <v>4</v>
      </c>
      <c r="B5" s="14" t="s">
        <v>5</v>
      </c>
    </row>
    <row r="6" spans="1:2" x14ac:dyDescent="0.3">
      <c r="A6" s="16" t="s">
        <v>6</v>
      </c>
      <c r="B6" s="14" t="s">
        <v>7</v>
      </c>
    </row>
    <row r="7" spans="1:2" x14ac:dyDescent="0.3">
      <c r="A7" s="16" t="s">
        <v>8</v>
      </c>
      <c r="B7" s="14" t="s">
        <v>9</v>
      </c>
    </row>
    <row r="8" spans="1:2" x14ac:dyDescent="0.3">
      <c r="A8" s="16"/>
      <c r="B8" s="14"/>
    </row>
    <row r="9" spans="1:2" x14ac:dyDescent="0.3">
      <c r="A9" s="16" t="s">
        <v>10</v>
      </c>
      <c r="B9" s="14" t="s">
        <v>11</v>
      </c>
    </row>
    <row r="10" spans="1:2" ht="63.6" customHeight="1" x14ac:dyDescent="0.3">
      <c r="A10" s="16" t="s">
        <v>12</v>
      </c>
      <c r="B10" s="12" t="s">
        <v>13</v>
      </c>
    </row>
    <row r="11" spans="1:2" x14ac:dyDescent="0.3">
      <c r="A11" s="16" t="s">
        <v>14</v>
      </c>
      <c r="B11" s="1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20" customWidth="1"/>
  </cols>
  <sheetData>
    <row r="1" spans="1:2" ht="16.8" x14ac:dyDescent="0.3">
      <c r="A1" s="3" t="s">
        <v>16</v>
      </c>
    </row>
    <row r="3" spans="1:2" ht="27.6" x14ac:dyDescent="0.3">
      <c r="A3" s="2" t="s">
        <v>17</v>
      </c>
      <c r="B3" s="4" t="s">
        <v>18</v>
      </c>
    </row>
    <row r="4" spans="1:2" x14ac:dyDescent="0.3">
      <c r="A4" s="2" t="s">
        <v>19</v>
      </c>
      <c r="B4" s="4" t="s">
        <v>20</v>
      </c>
    </row>
    <row r="5" spans="1:2" ht="27.6" x14ac:dyDescent="0.3">
      <c r="A5" s="2" t="s">
        <v>21</v>
      </c>
      <c r="B5" s="4" t="s">
        <v>22</v>
      </c>
    </row>
    <row r="6" spans="1:2" x14ac:dyDescent="0.3">
      <c r="A6" s="2" t="s">
        <v>23</v>
      </c>
      <c r="B6" s="4" t="s">
        <v>24</v>
      </c>
    </row>
    <row r="7" spans="1:2" x14ac:dyDescent="0.3">
      <c r="A7" s="2" t="s">
        <v>25</v>
      </c>
      <c r="B7" s="4" t="s">
        <v>26</v>
      </c>
    </row>
    <row r="8" spans="1:2" x14ac:dyDescent="0.3">
      <c r="A8" s="2" t="s">
        <v>27</v>
      </c>
      <c r="B8" s="4" t="s">
        <v>28</v>
      </c>
    </row>
    <row r="9" spans="1:2" ht="27.6" x14ac:dyDescent="0.3">
      <c r="A9" s="2" t="s">
        <v>29</v>
      </c>
      <c r="B9" s="4" t="s">
        <v>30</v>
      </c>
    </row>
    <row r="10" spans="1:2" x14ac:dyDescent="0.3">
      <c r="A10" s="2" t="s">
        <v>31</v>
      </c>
      <c r="B10" s="4" t="s">
        <v>32</v>
      </c>
    </row>
    <row r="11" spans="1:2" x14ac:dyDescent="0.3">
      <c r="A11" s="2" t="s">
        <v>33</v>
      </c>
      <c r="B11" s="4" t="s">
        <v>34</v>
      </c>
    </row>
    <row r="12" spans="1:2" ht="27.6" x14ac:dyDescent="0.3">
      <c r="A12" s="2" t="s">
        <v>35</v>
      </c>
      <c r="B12" s="4" t="s">
        <v>36</v>
      </c>
    </row>
    <row r="13" spans="1:2" x14ac:dyDescent="0.3">
      <c r="A13" s="2" t="s">
        <v>37</v>
      </c>
      <c r="B13" s="4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topLeftCell="A13" zoomScaleNormal="100" workbookViewId="0">
      <selection activeCell="C9" sqref="C9"/>
    </sheetView>
  </sheetViews>
  <sheetFormatPr defaultColWidth="8.6640625" defaultRowHeight="14.4" x14ac:dyDescent="0.3"/>
  <cols>
    <col min="1" max="1" width="7.88671875" bestFit="1" customWidth="1"/>
    <col min="2" max="2" width="28" customWidth="1"/>
    <col min="3" max="3" width="20" customWidth="1"/>
    <col min="4" max="4" width="10" customWidth="1"/>
    <col min="5" max="5" width="12" customWidth="1"/>
    <col min="6" max="7" width="10" customWidth="1"/>
    <col min="8" max="8" width="34" customWidth="1"/>
  </cols>
  <sheetData>
    <row r="1" spans="1:8" x14ac:dyDescent="0.3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</row>
    <row r="2" spans="1:8" x14ac:dyDescent="0.3">
      <c r="A2" s="1">
        <v>1</v>
      </c>
      <c r="B2" s="1" t="s">
        <v>47</v>
      </c>
      <c r="C2" s="1" t="s">
        <v>48</v>
      </c>
      <c r="D2" s="1">
        <v>344</v>
      </c>
      <c r="E2" s="1">
        <v>344</v>
      </c>
      <c r="F2" s="1">
        <v>300</v>
      </c>
      <c r="G2" s="1">
        <v>380</v>
      </c>
      <c r="H2" s="1" t="s">
        <v>49</v>
      </c>
    </row>
    <row r="3" spans="1:8" x14ac:dyDescent="0.3">
      <c r="A3" s="1">
        <v>2</v>
      </c>
      <c r="B3" s="1" t="s">
        <v>50</v>
      </c>
      <c r="C3" s="1" t="s">
        <v>51</v>
      </c>
      <c r="D3" s="1">
        <v>12</v>
      </c>
      <c r="E3" s="1">
        <v>12</v>
      </c>
      <c r="F3" s="1">
        <v>8</v>
      </c>
      <c r="G3" s="1">
        <v>20</v>
      </c>
      <c r="H3" s="1" t="s">
        <v>52</v>
      </c>
    </row>
    <row r="4" spans="1:8" x14ac:dyDescent="0.3">
      <c r="A4" s="1">
        <v>3</v>
      </c>
      <c r="B4" s="1" t="s">
        <v>53</v>
      </c>
      <c r="C4" s="1" t="s">
        <v>54</v>
      </c>
      <c r="D4" s="1">
        <v>29</v>
      </c>
      <c r="E4" s="1">
        <v>63</v>
      </c>
      <c r="F4" s="1">
        <v>55</v>
      </c>
      <c r="G4" s="1">
        <v>70</v>
      </c>
      <c r="H4" s="1" t="s">
        <v>55</v>
      </c>
    </row>
    <row r="5" spans="1:8" x14ac:dyDescent="0.3">
      <c r="A5" s="1">
        <v>3</v>
      </c>
      <c r="B5" s="1" t="s">
        <v>53</v>
      </c>
      <c r="C5" s="1" t="s">
        <v>56</v>
      </c>
      <c r="D5" s="1">
        <v>20</v>
      </c>
      <c r="E5" s="1">
        <v>63</v>
      </c>
      <c r="F5" s="1">
        <v>55</v>
      </c>
      <c r="G5" s="1">
        <v>70</v>
      </c>
      <c r="H5" s="1" t="s">
        <v>55</v>
      </c>
    </row>
    <row r="6" spans="1:8" x14ac:dyDescent="0.3">
      <c r="A6" s="1">
        <v>3</v>
      </c>
      <c r="B6" s="1" t="s">
        <v>53</v>
      </c>
      <c r="C6" s="1" t="s">
        <v>57</v>
      </c>
      <c r="D6" s="1">
        <v>14</v>
      </c>
      <c r="E6" s="1">
        <v>63</v>
      </c>
      <c r="F6" s="1">
        <v>55</v>
      </c>
      <c r="G6" s="1">
        <v>70</v>
      </c>
      <c r="H6" s="1" t="s">
        <v>55</v>
      </c>
    </row>
    <row r="7" spans="1:8" x14ac:dyDescent="0.3">
      <c r="A7" s="1">
        <v>4</v>
      </c>
      <c r="B7" s="1" t="s">
        <v>58</v>
      </c>
      <c r="C7" s="1" t="s">
        <v>48</v>
      </c>
      <c r="D7" s="1">
        <v>95</v>
      </c>
      <c r="E7" s="1">
        <v>150</v>
      </c>
      <c r="F7" s="1">
        <v>135</v>
      </c>
      <c r="G7" s="1">
        <v>165</v>
      </c>
      <c r="H7" s="1" t="s">
        <v>59</v>
      </c>
    </row>
    <row r="8" spans="1:8" x14ac:dyDescent="0.3">
      <c r="A8" s="1">
        <v>4</v>
      </c>
      <c r="B8" s="1" t="s">
        <v>58</v>
      </c>
      <c r="C8" s="1" t="s">
        <v>57</v>
      </c>
      <c r="D8" s="1">
        <v>35</v>
      </c>
      <c r="E8" s="1">
        <v>150</v>
      </c>
      <c r="F8" s="1">
        <v>135</v>
      </c>
      <c r="G8" s="1">
        <v>165</v>
      </c>
      <c r="H8" s="1" t="s">
        <v>60</v>
      </c>
    </row>
    <row r="9" spans="1:8" x14ac:dyDescent="0.3">
      <c r="A9" s="1">
        <v>4</v>
      </c>
      <c r="B9" s="1" t="s">
        <v>58</v>
      </c>
      <c r="C9" s="1" t="s">
        <v>56</v>
      </c>
      <c r="D9" s="1">
        <v>15</v>
      </c>
      <c r="E9" s="1">
        <v>150</v>
      </c>
      <c r="F9" s="1">
        <v>135</v>
      </c>
      <c r="G9" s="1">
        <v>165</v>
      </c>
      <c r="H9" s="1" t="s">
        <v>60</v>
      </c>
    </row>
    <row r="10" spans="1:8" x14ac:dyDescent="0.3">
      <c r="A10" s="1">
        <v>4</v>
      </c>
      <c r="B10" s="1" t="s">
        <v>58</v>
      </c>
      <c r="C10" s="1" t="s">
        <v>61</v>
      </c>
      <c r="D10" s="1">
        <v>4.5</v>
      </c>
      <c r="E10" s="1">
        <v>150</v>
      </c>
      <c r="F10" s="1">
        <v>135</v>
      </c>
      <c r="G10" s="1">
        <v>165</v>
      </c>
      <c r="H10" s="1" t="s">
        <v>60</v>
      </c>
    </row>
    <row r="11" spans="1:8" x14ac:dyDescent="0.3">
      <c r="A11" s="1">
        <v>4</v>
      </c>
      <c r="B11" s="1" t="s">
        <v>58</v>
      </c>
      <c r="C11" s="1" t="s">
        <v>62</v>
      </c>
      <c r="D11" s="1">
        <v>0.5</v>
      </c>
      <c r="E11" s="1">
        <v>150</v>
      </c>
      <c r="F11" s="1">
        <v>135</v>
      </c>
      <c r="G11" s="1">
        <v>165</v>
      </c>
      <c r="H11" s="1" t="s">
        <v>52</v>
      </c>
    </row>
    <row r="12" spans="1:8" x14ac:dyDescent="0.3">
      <c r="A12" s="1">
        <v>4</v>
      </c>
      <c r="B12" s="1" t="s">
        <v>58</v>
      </c>
      <c r="C12" s="1" t="s">
        <v>63</v>
      </c>
      <c r="D12" s="1">
        <v>0.06</v>
      </c>
      <c r="E12" s="1">
        <v>150</v>
      </c>
      <c r="F12" s="1">
        <v>135</v>
      </c>
      <c r="G12" s="1">
        <v>165</v>
      </c>
      <c r="H12" s="1" t="s">
        <v>64</v>
      </c>
    </row>
    <row r="13" spans="1:8" x14ac:dyDescent="0.3">
      <c r="A13" s="1">
        <v>5</v>
      </c>
      <c r="B13" s="1" t="s">
        <v>65</v>
      </c>
      <c r="C13" s="1" t="s">
        <v>56</v>
      </c>
      <c r="D13" s="1">
        <v>3.5</v>
      </c>
      <c r="E13" s="1">
        <v>7</v>
      </c>
      <c r="F13" s="1">
        <v>4</v>
      </c>
      <c r="G13" s="1">
        <v>10</v>
      </c>
      <c r="H13" s="1" t="s">
        <v>52</v>
      </c>
    </row>
    <row r="14" spans="1:8" x14ac:dyDescent="0.3">
      <c r="A14" s="1">
        <v>5</v>
      </c>
      <c r="B14" s="1" t="s">
        <v>65</v>
      </c>
      <c r="C14" s="1" t="s">
        <v>57</v>
      </c>
      <c r="D14" s="1">
        <v>1.7</v>
      </c>
      <c r="E14" s="1">
        <v>7</v>
      </c>
      <c r="F14" s="1">
        <v>4</v>
      </c>
      <c r="G14" s="1">
        <v>10</v>
      </c>
      <c r="H14" s="1" t="s">
        <v>52</v>
      </c>
    </row>
    <row r="15" spans="1:8" x14ac:dyDescent="0.3">
      <c r="A15" s="1">
        <v>5</v>
      </c>
      <c r="B15" s="1" t="s">
        <v>65</v>
      </c>
      <c r="C15" s="1" t="s">
        <v>66</v>
      </c>
      <c r="D15" s="1">
        <v>0.9</v>
      </c>
      <c r="E15" s="1">
        <v>7</v>
      </c>
      <c r="F15" s="1">
        <v>4</v>
      </c>
      <c r="G15" s="1">
        <v>10</v>
      </c>
      <c r="H15" s="1" t="s">
        <v>52</v>
      </c>
    </row>
    <row r="16" spans="1:8" x14ac:dyDescent="0.3">
      <c r="A16" s="1">
        <v>5</v>
      </c>
      <c r="B16" s="1" t="s">
        <v>65</v>
      </c>
      <c r="C16" s="1" t="s">
        <v>67</v>
      </c>
      <c r="D16" s="1">
        <v>0.6</v>
      </c>
      <c r="E16" s="1">
        <v>7</v>
      </c>
      <c r="F16" s="1">
        <v>4</v>
      </c>
      <c r="G16" s="1">
        <v>10</v>
      </c>
      <c r="H16" s="1" t="s">
        <v>52</v>
      </c>
    </row>
    <row r="17" spans="1:8" x14ac:dyDescent="0.3">
      <c r="A17" s="1">
        <v>5</v>
      </c>
      <c r="B17" s="1" t="s">
        <v>65</v>
      </c>
      <c r="C17" s="1" t="s">
        <v>68</v>
      </c>
      <c r="D17" s="1">
        <v>0.3</v>
      </c>
      <c r="E17" s="1">
        <v>7</v>
      </c>
      <c r="F17" s="1">
        <v>4</v>
      </c>
      <c r="G17" s="1">
        <v>10</v>
      </c>
      <c r="H17" s="1" t="s">
        <v>52</v>
      </c>
    </row>
    <row r="18" spans="1:8" x14ac:dyDescent="0.3">
      <c r="A18" s="1">
        <v>6</v>
      </c>
      <c r="B18" s="1" t="s">
        <v>69</v>
      </c>
      <c r="C18" s="1" t="s">
        <v>56</v>
      </c>
      <c r="D18" s="1">
        <v>0.5</v>
      </c>
      <c r="E18" s="1">
        <v>1</v>
      </c>
      <c r="F18" s="1">
        <v>0.5</v>
      </c>
      <c r="G18" s="1">
        <v>2</v>
      </c>
      <c r="H18" s="1" t="s">
        <v>52</v>
      </c>
    </row>
    <row r="19" spans="1:8" x14ac:dyDescent="0.3">
      <c r="A19" s="1">
        <v>6</v>
      </c>
      <c r="B19" s="1" t="s">
        <v>69</v>
      </c>
      <c r="C19" s="1" t="s">
        <v>57</v>
      </c>
      <c r="D19" s="1">
        <v>0.25</v>
      </c>
      <c r="E19" s="1">
        <v>1</v>
      </c>
      <c r="F19" s="1">
        <v>0.5</v>
      </c>
      <c r="G19" s="1">
        <v>2</v>
      </c>
      <c r="H19" s="1" t="s">
        <v>52</v>
      </c>
    </row>
    <row r="20" spans="1:8" x14ac:dyDescent="0.3">
      <c r="A20" s="1">
        <v>6</v>
      </c>
      <c r="B20" s="1" t="s">
        <v>69</v>
      </c>
      <c r="C20" s="1" t="s">
        <v>66</v>
      </c>
      <c r="D20" s="1">
        <v>0.15</v>
      </c>
      <c r="E20" s="1">
        <v>1</v>
      </c>
      <c r="F20" s="1">
        <v>0.5</v>
      </c>
      <c r="G20" s="1">
        <v>2</v>
      </c>
      <c r="H20" s="1" t="s">
        <v>52</v>
      </c>
    </row>
    <row r="21" spans="1:8" x14ac:dyDescent="0.3">
      <c r="A21" s="1">
        <v>6</v>
      </c>
      <c r="B21" s="1" t="s">
        <v>69</v>
      </c>
      <c r="C21" s="1" t="s">
        <v>67</v>
      </c>
      <c r="D21" s="1">
        <v>0.1</v>
      </c>
      <c r="E21" s="1">
        <v>1</v>
      </c>
      <c r="F21" s="1">
        <v>0.5</v>
      </c>
      <c r="G21" s="1">
        <v>2</v>
      </c>
      <c r="H21" s="1" t="s">
        <v>52</v>
      </c>
    </row>
    <row r="22" spans="1:8" x14ac:dyDescent="0.3">
      <c r="A22" s="1">
        <v>7</v>
      </c>
      <c r="B22" s="1" t="s">
        <v>70</v>
      </c>
      <c r="C22" s="1" t="s">
        <v>71</v>
      </c>
      <c r="D22" s="1">
        <v>0.6</v>
      </c>
      <c r="E22" s="1">
        <v>1</v>
      </c>
      <c r="F22" s="1">
        <v>0.5</v>
      </c>
      <c r="G22" s="1">
        <v>2</v>
      </c>
      <c r="H22" s="1" t="s">
        <v>52</v>
      </c>
    </row>
    <row r="23" spans="1:8" x14ac:dyDescent="0.3">
      <c r="A23" s="1">
        <v>7</v>
      </c>
      <c r="B23" s="1" t="s">
        <v>70</v>
      </c>
      <c r="C23" s="1" t="s">
        <v>57</v>
      </c>
      <c r="D23" s="1">
        <v>0.2</v>
      </c>
      <c r="E23" s="1">
        <v>1</v>
      </c>
      <c r="F23" s="1">
        <v>0.5</v>
      </c>
      <c r="G23" s="1">
        <v>2</v>
      </c>
      <c r="H23" s="1" t="s">
        <v>52</v>
      </c>
    </row>
    <row r="24" spans="1:8" x14ac:dyDescent="0.3">
      <c r="A24" s="1">
        <v>7</v>
      </c>
      <c r="B24" s="1" t="s">
        <v>70</v>
      </c>
      <c r="C24" s="1" t="s">
        <v>66</v>
      </c>
      <c r="D24" s="1">
        <v>0.2</v>
      </c>
      <c r="E24" s="1">
        <v>1</v>
      </c>
      <c r="F24" s="1">
        <v>0.5</v>
      </c>
      <c r="G24" s="1">
        <v>2</v>
      </c>
      <c r="H24" s="1" t="s">
        <v>52</v>
      </c>
    </row>
    <row r="25" spans="1:8" x14ac:dyDescent="0.3">
      <c r="A25" s="1">
        <v>8</v>
      </c>
      <c r="B25" s="1" t="s">
        <v>72</v>
      </c>
      <c r="C25" s="1" t="s">
        <v>57</v>
      </c>
      <c r="D25" s="1">
        <v>4.5</v>
      </c>
      <c r="E25" s="1">
        <v>9</v>
      </c>
      <c r="F25" s="1">
        <v>5</v>
      </c>
      <c r="G25" s="1">
        <v>13</v>
      </c>
      <c r="H25" s="1" t="s">
        <v>73</v>
      </c>
    </row>
    <row r="26" spans="1:8" x14ac:dyDescent="0.3">
      <c r="A26" s="1">
        <v>8</v>
      </c>
      <c r="B26" s="1" t="s">
        <v>72</v>
      </c>
      <c r="C26" s="1" t="s">
        <v>56</v>
      </c>
      <c r="D26" s="1">
        <v>3.6</v>
      </c>
      <c r="E26" s="1">
        <v>9</v>
      </c>
      <c r="F26" s="1">
        <v>5</v>
      </c>
      <c r="G26" s="1">
        <v>13</v>
      </c>
      <c r="H26" s="1" t="s">
        <v>52</v>
      </c>
    </row>
    <row r="27" spans="1:8" x14ac:dyDescent="0.3">
      <c r="A27" s="1">
        <v>8</v>
      </c>
      <c r="B27" s="1" t="s">
        <v>72</v>
      </c>
      <c r="C27" s="1" t="s">
        <v>66</v>
      </c>
      <c r="D27" s="1">
        <v>0.9</v>
      </c>
      <c r="E27" s="1">
        <v>9</v>
      </c>
      <c r="F27" s="1">
        <v>5</v>
      </c>
      <c r="G27" s="1">
        <v>13</v>
      </c>
      <c r="H27" s="1" t="s">
        <v>52</v>
      </c>
    </row>
    <row r="28" spans="1:8" x14ac:dyDescent="0.3">
      <c r="A28" s="1">
        <v>9</v>
      </c>
      <c r="B28" s="1" t="s">
        <v>74</v>
      </c>
      <c r="C28" s="1" t="s">
        <v>56</v>
      </c>
      <c r="D28" s="1">
        <v>1.5</v>
      </c>
      <c r="E28" s="1">
        <v>3</v>
      </c>
      <c r="F28" s="1">
        <v>2</v>
      </c>
      <c r="G28" s="1">
        <v>5</v>
      </c>
      <c r="H28" s="1" t="s">
        <v>73</v>
      </c>
    </row>
    <row r="29" spans="1:8" x14ac:dyDescent="0.3">
      <c r="A29" s="1">
        <v>9</v>
      </c>
      <c r="B29" s="1" t="s">
        <v>74</v>
      </c>
      <c r="C29" s="1" t="s">
        <v>57</v>
      </c>
      <c r="D29" s="1">
        <v>1.2</v>
      </c>
      <c r="E29" s="1">
        <v>3</v>
      </c>
      <c r="F29" s="1">
        <v>2</v>
      </c>
      <c r="G29" s="1">
        <v>5</v>
      </c>
      <c r="H29" s="1" t="s">
        <v>52</v>
      </c>
    </row>
    <row r="30" spans="1:8" x14ac:dyDescent="0.3">
      <c r="A30" s="1">
        <v>9</v>
      </c>
      <c r="B30" s="1" t="s">
        <v>74</v>
      </c>
      <c r="C30" s="1" t="s">
        <v>66</v>
      </c>
      <c r="D30" s="1">
        <v>0.3</v>
      </c>
      <c r="E30" s="1">
        <v>3</v>
      </c>
      <c r="F30" s="1">
        <v>2</v>
      </c>
      <c r="G30" s="1">
        <v>5</v>
      </c>
      <c r="H30" s="1" t="s">
        <v>52</v>
      </c>
    </row>
    <row r="31" spans="1:8" x14ac:dyDescent="0.3">
      <c r="A31" s="1">
        <v>10</v>
      </c>
      <c r="B31" s="1" t="s">
        <v>75</v>
      </c>
      <c r="C31" s="1" t="s">
        <v>56</v>
      </c>
      <c r="D31" s="1">
        <v>0.85</v>
      </c>
      <c r="E31" s="1">
        <v>1.5</v>
      </c>
      <c r="F31" s="1">
        <v>1</v>
      </c>
      <c r="G31" s="1">
        <v>3</v>
      </c>
      <c r="H31" s="1" t="s">
        <v>73</v>
      </c>
    </row>
    <row r="32" spans="1:8" x14ac:dyDescent="0.3">
      <c r="A32" s="1">
        <v>10</v>
      </c>
      <c r="B32" s="1" t="s">
        <v>75</v>
      </c>
      <c r="C32" s="1" t="s">
        <v>57</v>
      </c>
      <c r="D32" s="1">
        <v>0.5</v>
      </c>
      <c r="E32" s="1">
        <v>1.5</v>
      </c>
      <c r="F32" s="1">
        <v>1</v>
      </c>
      <c r="G32" s="1">
        <v>3</v>
      </c>
      <c r="H32" s="1" t="s">
        <v>52</v>
      </c>
    </row>
    <row r="33" spans="1:8" x14ac:dyDescent="0.3">
      <c r="A33" s="1">
        <v>10</v>
      </c>
      <c r="B33" s="1" t="s">
        <v>75</v>
      </c>
      <c r="C33" s="1" t="s">
        <v>66</v>
      </c>
      <c r="D33" s="1">
        <v>0.15</v>
      </c>
      <c r="E33" s="1">
        <v>1.5</v>
      </c>
      <c r="F33" s="1">
        <v>1</v>
      </c>
      <c r="G33" s="1">
        <v>3</v>
      </c>
      <c r="H33" s="1" t="s">
        <v>52</v>
      </c>
    </row>
    <row r="34" spans="1:8" x14ac:dyDescent="0.3">
      <c r="A34" s="1">
        <v>11</v>
      </c>
      <c r="B34" s="1" t="s">
        <v>76</v>
      </c>
      <c r="C34" s="1" t="s">
        <v>56</v>
      </c>
      <c r="D34" s="1">
        <v>0.7</v>
      </c>
      <c r="E34" s="1">
        <v>1.2</v>
      </c>
      <c r="F34" s="1">
        <v>0.8</v>
      </c>
      <c r="G34" s="1">
        <v>2</v>
      </c>
      <c r="H34" s="1" t="s">
        <v>52</v>
      </c>
    </row>
    <row r="35" spans="1:8" x14ac:dyDescent="0.3">
      <c r="A35" s="1">
        <v>11</v>
      </c>
      <c r="B35" s="1" t="s">
        <v>76</v>
      </c>
      <c r="C35" s="1" t="s">
        <v>57</v>
      </c>
      <c r="D35" s="1">
        <v>0.4</v>
      </c>
      <c r="E35" s="1">
        <v>1.2</v>
      </c>
      <c r="F35" s="1">
        <v>0.8</v>
      </c>
      <c r="G35" s="1">
        <v>2</v>
      </c>
      <c r="H35" s="1" t="s">
        <v>52</v>
      </c>
    </row>
    <row r="36" spans="1:8" x14ac:dyDescent="0.3">
      <c r="A36" s="1">
        <v>11</v>
      </c>
      <c r="B36" s="1" t="s">
        <v>76</v>
      </c>
      <c r="C36" s="1" t="s">
        <v>66</v>
      </c>
      <c r="D36" s="1">
        <v>0.1</v>
      </c>
      <c r="E36" s="1">
        <v>1.2</v>
      </c>
      <c r="F36" s="1">
        <v>0.8</v>
      </c>
      <c r="G36" s="1">
        <v>2</v>
      </c>
      <c r="H36" s="1" t="s">
        <v>52</v>
      </c>
    </row>
    <row r="37" spans="1:8" x14ac:dyDescent="0.3">
      <c r="A37" s="1">
        <v>12</v>
      </c>
      <c r="B37" s="1" t="s">
        <v>77</v>
      </c>
      <c r="C37" s="1" t="s">
        <v>78</v>
      </c>
      <c r="D37" s="1">
        <v>0.9</v>
      </c>
      <c r="E37" s="1">
        <v>2.5</v>
      </c>
      <c r="F37" s="1">
        <v>0.6</v>
      </c>
      <c r="G37" s="1">
        <v>5.6</v>
      </c>
      <c r="H37" s="1" t="s">
        <v>79</v>
      </c>
    </row>
    <row r="38" spans="1:8" x14ac:dyDescent="0.3">
      <c r="A38" s="1">
        <v>12</v>
      </c>
      <c r="B38" s="1" t="s">
        <v>77</v>
      </c>
      <c r="C38" s="1" t="s">
        <v>56</v>
      </c>
      <c r="D38" s="1">
        <v>1.6</v>
      </c>
      <c r="E38" s="1">
        <v>2.5</v>
      </c>
      <c r="F38" s="1">
        <v>0.6</v>
      </c>
      <c r="G38" s="1">
        <v>5.6</v>
      </c>
      <c r="H38" s="1" t="s">
        <v>80</v>
      </c>
    </row>
    <row r="39" spans="1:8" x14ac:dyDescent="0.3">
      <c r="A39" s="1">
        <v>13</v>
      </c>
      <c r="B39" s="1" t="s">
        <v>81</v>
      </c>
      <c r="C39" s="1" t="s">
        <v>71</v>
      </c>
      <c r="D39" s="1">
        <v>25</v>
      </c>
      <c r="E39" s="1">
        <v>44.9</v>
      </c>
      <c r="F39" s="1">
        <v>25</v>
      </c>
      <c r="G39" s="1">
        <v>60</v>
      </c>
      <c r="H39" s="1" t="s">
        <v>82</v>
      </c>
    </row>
    <row r="40" spans="1:8" x14ac:dyDescent="0.3">
      <c r="A40" s="1">
        <v>13</v>
      </c>
      <c r="B40" s="1" t="s">
        <v>81</v>
      </c>
      <c r="C40" s="1" t="s">
        <v>83</v>
      </c>
      <c r="D40" s="1">
        <v>10</v>
      </c>
      <c r="E40" s="1">
        <v>44.9</v>
      </c>
      <c r="F40" s="1">
        <v>25</v>
      </c>
      <c r="G40" s="1">
        <v>60</v>
      </c>
      <c r="H40" s="1" t="s">
        <v>52</v>
      </c>
    </row>
    <row r="41" spans="1:8" x14ac:dyDescent="0.3">
      <c r="A41" s="1">
        <v>13</v>
      </c>
      <c r="B41" s="1" t="s">
        <v>81</v>
      </c>
      <c r="C41" s="1" t="s">
        <v>51</v>
      </c>
      <c r="D41" s="1">
        <v>5</v>
      </c>
      <c r="E41" s="1">
        <v>44.9</v>
      </c>
      <c r="F41" s="1">
        <v>25</v>
      </c>
      <c r="G41" s="1">
        <v>60</v>
      </c>
      <c r="H41" s="1" t="s">
        <v>84</v>
      </c>
    </row>
    <row r="42" spans="1:8" x14ac:dyDescent="0.3">
      <c r="A42" s="1">
        <v>13</v>
      </c>
      <c r="B42" s="1" t="s">
        <v>81</v>
      </c>
      <c r="C42" s="1" t="s">
        <v>48</v>
      </c>
      <c r="D42" s="1">
        <v>3.3</v>
      </c>
      <c r="E42" s="1">
        <v>44.9</v>
      </c>
      <c r="F42" s="1">
        <v>25</v>
      </c>
      <c r="G42" s="1">
        <v>60</v>
      </c>
      <c r="H42" s="1" t="s">
        <v>85</v>
      </c>
    </row>
    <row r="43" spans="1:8" x14ac:dyDescent="0.3">
      <c r="A43" s="1">
        <v>13</v>
      </c>
      <c r="B43" s="1" t="s">
        <v>81</v>
      </c>
      <c r="C43" s="1" t="s">
        <v>56</v>
      </c>
      <c r="D43" s="1">
        <v>1.6</v>
      </c>
      <c r="E43" s="1">
        <v>44.9</v>
      </c>
      <c r="F43" s="1">
        <v>25</v>
      </c>
      <c r="G43" s="1">
        <v>60</v>
      </c>
      <c r="H43" s="1" t="s">
        <v>52</v>
      </c>
    </row>
    <row r="44" spans="1:8" x14ac:dyDescent="0.3">
      <c r="A44" s="1">
        <v>13</v>
      </c>
      <c r="B44" s="1" t="s">
        <v>81</v>
      </c>
      <c r="C44" s="1" t="s">
        <v>63</v>
      </c>
      <c r="D44" s="1">
        <v>3.1699999999999999E-2</v>
      </c>
      <c r="E44" s="1">
        <v>44.9</v>
      </c>
      <c r="F44" s="1">
        <v>25</v>
      </c>
      <c r="G44" s="1">
        <v>60</v>
      </c>
      <c r="H44" s="1" t="s">
        <v>86</v>
      </c>
    </row>
    <row r="45" spans="1:8" x14ac:dyDescent="0.3">
      <c r="A45" s="1">
        <v>13</v>
      </c>
      <c r="B45" s="1" t="s">
        <v>81</v>
      </c>
      <c r="C45" s="1" t="s">
        <v>87</v>
      </c>
      <c r="D45" s="1">
        <v>5.9299999999999999E-2</v>
      </c>
      <c r="E45" s="1">
        <v>44.9</v>
      </c>
      <c r="F45" s="1">
        <v>25</v>
      </c>
      <c r="G45" s="1">
        <v>60</v>
      </c>
      <c r="H45" s="1" t="s">
        <v>88</v>
      </c>
    </row>
    <row r="46" spans="1:8" x14ac:dyDescent="0.3">
      <c r="A46" s="1">
        <v>13</v>
      </c>
      <c r="B46" s="1" t="s">
        <v>81</v>
      </c>
      <c r="C46" s="1" t="s">
        <v>89</v>
      </c>
      <c r="D46" s="1">
        <v>5.4999999999999997E-3</v>
      </c>
      <c r="E46" s="1">
        <v>44.9</v>
      </c>
      <c r="F46" s="1">
        <v>25</v>
      </c>
      <c r="G46" s="1">
        <v>60</v>
      </c>
      <c r="H46" s="1" t="s">
        <v>90</v>
      </c>
    </row>
    <row r="47" spans="1:8" x14ac:dyDescent="0.3">
      <c r="A47" s="1">
        <v>14</v>
      </c>
      <c r="B47" s="1" t="s">
        <v>91</v>
      </c>
      <c r="C47" s="1" t="s">
        <v>67</v>
      </c>
      <c r="D47" s="1">
        <v>3.9</v>
      </c>
      <c r="E47" s="1">
        <v>3.9</v>
      </c>
      <c r="F47" s="1">
        <v>0.8</v>
      </c>
      <c r="G47" s="1">
        <v>6.4</v>
      </c>
      <c r="H47" s="1" t="s">
        <v>92</v>
      </c>
    </row>
    <row r="48" spans="1:8" x14ac:dyDescent="0.3">
      <c r="A48" s="1">
        <v>15</v>
      </c>
      <c r="B48" s="1" t="s">
        <v>93</v>
      </c>
      <c r="C48" s="1" t="s">
        <v>61</v>
      </c>
      <c r="D48" s="1">
        <v>8</v>
      </c>
      <c r="E48" s="1">
        <v>8</v>
      </c>
      <c r="F48" s="1">
        <v>4</v>
      </c>
      <c r="G48" s="1">
        <v>12</v>
      </c>
      <c r="H48" s="1" t="s">
        <v>52</v>
      </c>
    </row>
    <row r="49" spans="1:8" x14ac:dyDescent="0.3">
      <c r="A49" s="1">
        <v>16</v>
      </c>
      <c r="B49" s="1" t="s">
        <v>94</v>
      </c>
      <c r="C49" s="1" t="s">
        <v>56</v>
      </c>
      <c r="D49" s="1">
        <v>3</v>
      </c>
      <c r="E49" s="1">
        <v>3</v>
      </c>
      <c r="F49" s="1">
        <v>1</v>
      </c>
      <c r="G49" s="1">
        <v>5</v>
      </c>
      <c r="H49" s="1" t="s">
        <v>52</v>
      </c>
    </row>
    <row r="50" spans="1:8" x14ac:dyDescent="0.3">
      <c r="A50" s="1">
        <v>17</v>
      </c>
      <c r="B50" s="1" t="s">
        <v>95</v>
      </c>
      <c r="C50" s="1" t="s">
        <v>56</v>
      </c>
      <c r="D50" s="1">
        <v>5</v>
      </c>
      <c r="E50" s="1">
        <v>5</v>
      </c>
      <c r="F50" s="1">
        <v>2</v>
      </c>
      <c r="G50" s="1">
        <v>10</v>
      </c>
      <c r="H50" s="1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"/>
  <sheetViews>
    <sheetView zoomScaleNormal="100" workbookViewId="0">
      <selection activeCell="A18" sqref="A18"/>
    </sheetView>
  </sheetViews>
  <sheetFormatPr defaultColWidth="8.6640625" defaultRowHeight="14.4" x14ac:dyDescent="0.3"/>
  <cols>
    <col min="1" max="1" width="28" customWidth="1"/>
    <col min="2" max="2" width="11.5546875" bestFit="1" customWidth="1"/>
    <col min="3" max="3" width="8.109375" bestFit="1" customWidth="1"/>
    <col min="4" max="4" width="17.21875" bestFit="1" customWidth="1"/>
  </cols>
  <sheetData>
    <row r="1" spans="1:18" x14ac:dyDescent="0.3">
      <c r="A1" s="5" t="s">
        <v>40</v>
      </c>
      <c r="B1" s="5" t="s">
        <v>48</v>
      </c>
      <c r="C1" s="5" t="s">
        <v>57</v>
      </c>
      <c r="D1" s="5" t="s">
        <v>56</v>
      </c>
      <c r="E1" s="5" t="s">
        <v>54</v>
      </c>
      <c r="F1" s="5" t="s">
        <v>71</v>
      </c>
      <c r="G1" s="5" t="s">
        <v>51</v>
      </c>
      <c r="H1" s="5" t="s">
        <v>61</v>
      </c>
      <c r="I1" s="5" t="s">
        <v>67</v>
      </c>
      <c r="J1" s="5" t="s">
        <v>66</v>
      </c>
      <c r="K1" s="5" t="s">
        <v>83</v>
      </c>
      <c r="L1" s="5" t="s">
        <v>62</v>
      </c>
      <c r="M1" s="5" t="s">
        <v>78</v>
      </c>
      <c r="N1" s="5" t="s">
        <v>63</v>
      </c>
      <c r="O1" s="5" t="s">
        <v>87</v>
      </c>
      <c r="P1" s="5" t="s">
        <v>89</v>
      </c>
      <c r="Q1" s="5" t="s">
        <v>68</v>
      </c>
      <c r="R1" s="5" t="s">
        <v>97</v>
      </c>
    </row>
    <row r="2" spans="1:18" x14ac:dyDescent="0.3">
      <c r="A2" s="1" t="s">
        <v>47</v>
      </c>
      <c r="B2" s="6">
        <f>SUMIFS(BOM_Data!$D:$D,BOM_Data!$A:$A,1,BOM_Data!$C:$C,"Aluminium")</f>
        <v>344</v>
      </c>
      <c r="C2" s="6">
        <f>SUMIFS(BOM_Data!$D:$D,BOM_Data!$A:$A,1,BOM_Data!$C:$C,"Copper")</f>
        <v>0</v>
      </c>
      <c r="D2" s="6">
        <f>SUMIFS(BOM_Data!$D:$D,BOM_Data!$A:$A,1,BOM_Data!$C:$C,"Polymers/epoxy")</f>
        <v>0</v>
      </c>
      <c r="E2" s="6">
        <f>SUMIFS(BOM_Data!$D:$D,BOM_Data!$A:$A,1,BOM_Data!$C:$C,"Glass fibre")</f>
        <v>0</v>
      </c>
      <c r="F2" s="6">
        <f>SUMIFS(BOM_Data!$D:$D,BOM_Data!$A:$A,1,BOM_Data!$C:$C,"Ceramics")</f>
        <v>0</v>
      </c>
      <c r="G2" s="6">
        <f>SUMIFS(BOM_Data!$D:$D,BOM_Data!$A:$A,1,BOM_Data!$C:$C,"Steel/Fe")</f>
        <v>0</v>
      </c>
      <c r="H2" s="6">
        <f>SUMIFS(BOM_Data!$D:$D,BOM_Data!$A:$A,1,BOM_Data!$C:$C,"Silicone")</f>
        <v>0</v>
      </c>
      <c r="I2" s="6">
        <f>SUMIFS(BOM_Data!$D:$D,BOM_Data!$A:$A,1,BOM_Data!$C:$C,"Tin (solder)")</f>
        <v>0</v>
      </c>
      <c r="J2" s="6">
        <f>SUMIFS(BOM_Data!$D:$D,BOM_Data!$A:$A,1,BOM_Data!$C:$C,"Silicon")</f>
        <v>0</v>
      </c>
      <c r="K2" s="6">
        <f>SUMIFS(BOM_Data!$D:$D,BOM_Data!$A:$A,1,BOM_Data!$C:$C,"Mixed terminations")</f>
        <v>0</v>
      </c>
      <c r="L2" s="6">
        <f>SUMIFS(BOM_Data!$D:$D,BOM_Data!$A:$A,1,BOM_Data!$C:$C,"Nickel")</f>
        <v>0</v>
      </c>
      <c r="M2" s="6">
        <f>SUMIFS(BOM_Data!$D:$D,BOM_Data!$A:$A,1,BOM_Data!$C:$C,"Tantalum")</f>
        <v>0</v>
      </c>
      <c r="N2" s="6">
        <f>SUMIFS(BOM_Data!$D:$D,BOM_Data!$A:$A,1,BOM_Data!$C:$C,"Gold")</f>
        <v>0</v>
      </c>
      <c r="O2" s="6">
        <f>SUMIFS(BOM_Data!$D:$D,BOM_Data!$A:$A,1,BOM_Data!$C:$C,"Silver")</f>
        <v>0</v>
      </c>
      <c r="P2" s="6">
        <f>SUMIFS(BOM_Data!$D:$D,BOM_Data!$A:$A,1,BOM_Data!$C:$C,"Palladium")</f>
        <v>0</v>
      </c>
      <c r="Q2" s="6">
        <f>SUMIFS(BOM_Data!$D:$D,BOM_Data!$A:$A,1,BOM_Data!$C:$C,"Other")</f>
        <v>0</v>
      </c>
      <c r="R2" s="7">
        <f t="shared" ref="R2:R18" si="0">SUM(B2:Q2)</f>
        <v>344</v>
      </c>
    </row>
    <row r="3" spans="1:18" x14ac:dyDescent="0.3">
      <c r="A3" s="1" t="s">
        <v>50</v>
      </c>
      <c r="B3" s="6">
        <f>SUMIFS(BOM_Data!$D:$D,BOM_Data!$A:$A,2,BOM_Data!$C:$C,"Aluminium")</f>
        <v>0</v>
      </c>
      <c r="C3" s="6">
        <f>SUMIFS(BOM_Data!$D:$D,BOM_Data!$A:$A,2,BOM_Data!$C:$C,"Copper")</f>
        <v>0</v>
      </c>
      <c r="D3" s="6">
        <f>SUMIFS(BOM_Data!$D:$D,BOM_Data!$A:$A,2,BOM_Data!$C:$C,"Polymers/epoxy")</f>
        <v>0</v>
      </c>
      <c r="E3" s="6">
        <f>SUMIFS(BOM_Data!$D:$D,BOM_Data!$A:$A,2,BOM_Data!$C:$C,"Glass fibre")</f>
        <v>0</v>
      </c>
      <c r="F3" s="6">
        <f>SUMIFS(BOM_Data!$D:$D,BOM_Data!$A:$A,2,BOM_Data!$C:$C,"Ceramics")</f>
        <v>0</v>
      </c>
      <c r="G3" s="6">
        <f>SUMIFS(BOM_Data!$D:$D,BOM_Data!$A:$A,2,BOM_Data!$C:$C,"Steel/Fe")</f>
        <v>12</v>
      </c>
      <c r="H3" s="6">
        <f>SUMIFS(BOM_Data!$D:$D,BOM_Data!$A:$A,2,BOM_Data!$C:$C,"Silicone")</f>
        <v>0</v>
      </c>
      <c r="I3" s="6">
        <f>SUMIFS(BOM_Data!$D:$D,BOM_Data!$A:$A,2,BOM_Data!$C:$C,"Tin (solder)")</f>
        <v>0</v>
      </c>
      <c r="J3" s="6">
        <f>SUMIFS(BOM_Data!$D:$D,BOM_Data!$A:$A,2,BOM_Data!$C:$C,"Silicon")</f>
        <v>0</v>
      </c>
      <c r="K3" s="6">
        <f>SUMIFS(BOM_Data!$D:$D,BOM_Data!$A:$A,2,BOM_Data!$C:$C,"Mixed terminations")</f>
        <v>0</v>
      </c>
      <c r="L3" s="6">
        <f>SUMIFS(BOM_Data!$D:$D,BOM_Data!$A:$A,2,BOM_Data!$C:$C,"Nickel")</f>
        <v>0</v>
      </c>
      <c r="M3" s="6">
        <f>SUMIFS(BOM_Data!$D:$D,BOM_Data!$A:$A,2,BOM_Data!$C:$C,"Tantalum")</f>
        <v>0</v>
      </c>
      <c r="N3" s="6">
        <f>SUMIFS(BOM_Data!$D:$D,BOM_Data!$A:$A,2,BOM_Data!$C:$C,"Gold")</f>
        <v>0</v>
      </c>
      <c r="O3" s="6">
        <f>SUMIFS(BOM_Data!$D:$D,BOM_Data!$A:$A,2,BOM_Data!$C:$C,"Silver")</f>
        <v>0</v>
      </c>
      <c r="P3" s="6">
        <f>SUMIFS(BOM_Data!$D:$D,BOM_Data!$A:$A,2,BOM_Data!$C:$C,"Palladium")</f>
        <v>0</v>
      </c>
      <c r="Q3" s="6">
        <f>SUMIFS(BOM_Data!$D:$D,BOM_Data!$A:$A,2,BOM_Data!$C:$C,"Other")</f>
        <v>0</v>
      </c>
      <c r="R3" s="7">
        <f t="shared" si="0"/>
        <v>12</v>
      </c>
    </row>
    <row r="4" spans="1:18" x14ac:dyDescent="0.3">
      <c r="A4" s="1" t="s">
        <v>53</v>
      </c>
      <c r="B4" s="6">
        <f>SUMIFS(BOM_Data!$D:$D,BOM_Data!$A:$A,3,BOM_Data!$C:$C,"Aluminium")</f>
        <v>0</v>
      </c>
      <c r="C4" s="6">
        <f>SUMIFS(BOM_Data!$D:$D,BOM_Data!$A:$A,3,BOM_Data!$C:$C,"Copper")</f>
        <v>14</v>
      </c>
      <c r="D4" s="6">
        <f>SUMIFS(BOM_Data!$D:$D,BOM_Data!$A:$A,3,BOM_Data!$C:$C,"Polymers/epoxy")</f>
        <v>20</v>
      </c>
      <c r="E4" s="6">
        <f>SUMIFS(BOM_Data!$D:$D,BOM_Data!$A:$A,3,BOM_Data!$C:$C,"Glass fibre")</f>
        <v>29</v>
      </c>
      <c r="F4" s="6">
        <f>SUMIFS(BOM_Data!$D:$D,BOM_Data!$A:$A,3,BOM_Data!$C:$C,"Ceramics")</f>
        <v>0</v>
      </c>
      <c r="G4" s="6">
        <f>SUMIFS(BOM_Data!$D:$D,BOM_Data!$A:$A,3,BOM_Data!$C:$C,"Steel/Fe")</f>
        <v>0</v>
      </c>
      <c r="H4" s="6">
        <f>SUMIFS(BOM_Data!$D:$D,BOM_Data!$A:$A,3,BOM_Data!$C:$C,"Silicone")</f>
        <v>0</v>
      </c>
      <c r="I4" s="6">
        <f>SUMIFS(BOM_Data!$D:$D,BOM_Data!$A:$A,3,BOM_Data!$C:$C,"Tin (solder)")</f>
        <v>0</v>
      </c>
      <c r="J4" s="6">
        <f>SUMIFS(BOM_Data!$D:$D,BOM_Data!$A:$A,3,BOM_Data!$C:$C,"Silicon")</f>
        <v>0</v>
      </c>
      <c r="K4" s="6">
        <f>SUMIFS(BOM_Data!$D:$D,BOM_Data!$A:$A,3,BOM_Data!$C:$C,"Mixed terminations")</f>
        <v>0</v>
      </c>
      <c r="L4" s="6">
        <f>SUMIFS(BOM_Data!$D:$D,BOM_Data!$A:$A,3,BOM_Data!$C:$C,"Nickel")</f>
        <v>0</v>
      </c>
      <c r="M4" s="6">
        <f>SUMIFS(BOM_Data!$D:$D,BOM_Data!$A:$A,3,BOM_Data!$C:$C,"Tantalum")</f>
        <v>0</v>
      </c>
      <c r="N4" s="6">
        <f>SUMIFS(BOM_Data!$D:$D,BOM_Data!$A:$A,3,BOM_Data!$C:$C,"Gold")</f>
        <v>0</v>
      </c>
      <c r="O4" s="6">
        <f>SUMIFS(BOM_Data!$D:$D,BOM_Data!$A:$A,3,BOM_Data!$C:$C,"Silver")</f>
        <v>0</v>
      </c>
      <c r="P4" s="6">
        <f>SUMIFS(BOM_Data!$D:$D,BOM_Data!$A:$A,3,BOM_Data!$C:$C,"Palladium")</f>
        <v>0</v>
      </c>
      <c r="Q4" s="6">
        <f>SUMIFS(BOM_Data!$D:$D,BOM_Data!$A:$A,3,BOM_Data!$C:$C,"Other")</f>
        <v>0</v>
      </c>
      <c r="R4" s="7">
        <f t="shared" si="0"/>
        <v>63</v>
      </c>
    </row>
    <row r="5" spans="1:18" x14ac:dyDescent="0.3">
      <c r="A5" s="1" t="s">
        <v>58</v>
      </c>
      <c r="B5" s="6">
        <f>SUMIFS(BOM_Data!$D:$D,BOM_Data!$A:$A,4,BOM_Data!$C:$C,"Aluminium")</f>
        <v>95</v>
      </c>
      <c r="C5" s="6">
        <f>SUMIFS(BOM_Data!$D:$D,BOM_Data!$A:$A,4,BOM_Data!$C:$C,"Copper")</f>
        <v>35</v>
      </c>
      <c r="D5" s="6">
        <f>SUMIFS(BOM_Data!$D:$D,BOM_Data!$A:$A,4,BOM_Data!$C:$C,"Polymers/epoxy")</f>
        <v>15</v>
      </c>
      <c r="E5" s="6">
        <f>SUMIFS(BOM_Data!$D:$D,BOM_Data!$A:$A,4,BOM_Data!$C:$C,"Glass fibre")</f>
        <v>0</v>
      </c>
      <c r="F5" s="6">
        <f>SUMIFS(BOM_Data!$D:$D,BOM_Data!$A:$A,4,BOM_Data!$C:$C,"Ceramics")</f>
        <v>0</v>
      </c>
      <c r="G5" s="6">
        <f>SUMIFS(BOM_Data!$D:$D,BOM_Data!$A:$A,4,BOM_Data!$C:$C,"Steel/Fe")</f>
        <v>0</v>
      </c>
      <c r="H5" s="6">
        <f>SUMIFS(BOM_Data!$D:$D,BOM_Data!$A:$A,4,BOM_Data!$C:$C,"Silicone")</f>
        <v>4.5</v>
      </c>
      <c r="I5" s="6">
        <f>SUMIFS(BOM_Data!$D:$D,BOM_Data!$A:$A,4,BOM_Data!$C:$C,"Tin (solder)")</f>
        <v>0</v>
      </c>
      <c r="J5" s="6">
        <f>SUMIFS(BOM_Data!$D:$D,BOM_Data!$A:$A,4,BOM_Data!$C:$C,"Silicon")</f>
        <v>0</v>
      </c>
      <c r="K5" s="6">
        <f>SUMIFS(BOM_Data!$D:$D,BOM_Data!$A:$A,4,BOM_Data!$C:$C,"Mixed terminations")</f>
        <v>0</v>
      </c>
      <c r="L5" s="6">
        <f>SUMIFS(BOM_Data!$D:$D,BOM_Data!$A:$A,4,BOM_Data!$C:$C,"Nickel")</f>
        <v>0.5</v>
      </c>
      <c r="M5" s="6">
        <f>SUMIFS(BOM_Data!$D:$D,BOM_Data!$A:$A,4,BOM_Data!$C:$C,"Tantalum")</f>
        <v>0</v>
      </c>
      <c r="N5" s="6">
        <f>SUMIFS(BOM_Data!$D:$D,BOM_Data!$A:$A,4,BOM_Data!$C:$C,"Gold")</f>
        <v>0.06</v>
      </c>
      <c r="O5" s="6">
        <f>SUMIFS(BOM_Data!$D:$D,BOM_Data!$A:$A,4,BOM_Data!$C:$C,"Silver")</f>
        <v>0</v>
      </c>
      <c r="P5" s="6">
        <f>SUMIFS(BOM_Data!$D:$D,BOM_Data!$A:$A,4,BOM_Data!$C:$C,"Palladium")</f>
        <v>0</v>
      </c>
      <c r="Q5" s="6">
        <f>SUMIFS(BOM_Data!$D:$D,BOM_Data!$A:$A,4,BOM_Data!$C:$C,"Other")</f>
        <v>0</v>
      </c>
      <c r="R5" s="7">
        <f t="shared" si="0"/>
        <v>150.06</v>
      </c>
    </row>
    <row r="6" spans="1:18" x14ac:dyDescent="0.3">
      <c r="A6" s="1" t="s">
        <v>65</v>
      </c>
      <c r="B6" s="6">
        <f>SUMIFS(BOM_Data!$D:$D,BOM_Data!$A:$A,5,BOM_Data!$C:$C,"Aluminium")</f>
        <v>0</v>
      </c>
      <c r="C6" s="6">
        <f>SUMIFS(BOM_Data!$D:$D,BOM_Data!$A:$A,5,BOM_Data!$C:$C,"Copper")</f>
        <v>1.7</v>
      </c>
      <c r="D6" s="6">
        <f>SUMIFS(BOM_Data!$D:$D,BOM_Data!$A:$A,5,BOM_Data!$C:$C,"Polymers/epoxy")</f>
        <v>3.5</v>
      </c>
      <c r="E6" s="6">
        <f>SUMIFS(BOM_Data!$D:$D,BOM_Data!$A:$A,5,BOM_Data!$C:$C,"Glass fibre")</f>
        <v>0</v>
      </c>
      <c r="F6" s="6">
        <f>SUMIFS(BOM_Data!$D:$D,BOM_Data!$A:$A,5,BOM_Data!$C:$C,"Ceramics")</f>
        <v>0</v>
      </c>
      <c r="G6" s="6">
        <f>SUMIFS(BOM_Data!$D:$D,BOM_Data!$A:$A,5,BOM_Data!$C:$C,"Steel/Fe")</f>
        <v>0</v>
      </c>
      <c r="H6" s="6">
        <f>SUMIFS(BOM_Data!$D:$D,BOM_Data!$A:$A,5,BOM_Data!$C:$C,"Silicone")</f>
        <v>0</v>
      </c>
      <c r="I6" s="6">
        <f>SUMIFS(BOM_Data!$D:$D,BOM_Data!$A:$A,5,BOM_Data!$C:$C,"Tin (solder)")</f>
        <v>0.6</v>
      </c>
      <c r="J6" s="6">
        <f>SUMIFS(BOM_Data!$D:$D,BOM_Data!$A:$A,5,BOM_Data!$C:$C,"Silicon")</f>
        <v>0.9</v>
      </c>
      <c r="K6" s="6">
        <f>SUMIFS(BOM_Data!$D:$D,BOM_Data!$A:$A,5,BOM_Data!$C:$C,"Mixed terminations")</f>
        <v>0</v>
      </c>
      <c r="L6" s="6">
        <f>SUMIFS(BOM_Data!$D:$D,BOM_Data!$A:$A,5,BOM_Data!$C:$C,"Nickel")</f>
        <v>0</v>
      </c>
      <c r="M6" s="6">
        <f>SUMIFS(BOM_Data!$D:$D,BOM_Data!$A:$A,5,BOM_Data!$C:$C,"Tantalum")</f>
        <v>0</v>
      </c>
      <c r="N6" s="6">
        <f>SUMIFS(BOM_Data!$D:$D,BOM_Data!$A:$A,5,BOM_Data!$C:$C,"Gold")</f>
        <v>0</v>
      </c>
      <c r="O6" s="6">
        <f>SUMIFS(BOM_Data!$D:$D,BOM_Data!$A:$A,5,BOM_Data!$C:$C,"Silver")</f>
        <v>0</v>
      </c>
      <c r="P6" s="6">
        <f>SUMIFS(BOM_Data!$D:$D,BOM_Data!$A:$A,5,BOM_Data!$C:$C,"Palladium")</f>
        <v>0</v>
      </c>
      <c r="Q6" s="6">
        <f>SUMIFS(BOM_Data!$D:$D,BOM_Data!$A:$A,5,BOM_Data!$C:$C,"Other")</f>
        <v>0.3</v>
      </c>
      <c r="R6" s="7">
        <f t="shared" si="0"/>
        <v>7</v>
      </c>
    </row>
    <row r="7" spans="1:18" x14ac:dyDescent="0.3">
      <c r="A7" s="1" t="s">
        <v>69</v>
      </c>
      <c r="B7" s="6">
        <f>SUMIFS(BOM_Data!$D:$D,BOM_Data!$A:$A,6,BOM_Data!$C:$C,"Aluminium")</f>
        <v>0</v>
      </c>
      <c r="C7" s="6">
        <f>SUMIFS(BOM_Data!$D:$D,BOM_Data!$A:$A,6,BOM_Data!$C:$C,"Copper")</f>
        <v>0.25</v>
      </c>
      <c r="D7" s="6">
        <f>SUMIFS(BOM_Data!$D:$D,BOM_Data!$A:$A,6,BOM_Data!$C:$C,"Polymers/epoxy")</f>
        <v>0.5</v>
      </c>
      <c r="E7" s="6">
        <f>SUMIFS(BOM_Data!$D:$D,BOM_Data!$A:$A,6,BOM_Data!$C:$C,"Glass fibre")</f>
        <v>0</v>
      </c>
      <c r="F7" s="6">
        <f>SUMIFS(BOM_Data!$D:$D,BOM_Data!$A:$A,6,BOM_Data!$C:$C,"Ceramics")</f>
        <v>0</v>
      </c>
      <c r="G7" s="6">
        <f>SUMIFS(BOM_Data!$D:$D,BOM_Data!$A:$A,6,BOM_Data!$C:$C,"Steel/Fe")</f>
        <v>0</v>
      </c>
      <c r="H7" s="6">
        <f>SUMIFS(BOM_Data!$D:$D,BOM_Data!$A:$A,6,BOM_Data!$C:$C,"Silicone")</f>
        <v>0</v>
      </c>
      <c r="I7" s="6">
        <f>SUMIFS(BOM_Data!$D:$D,BOM_Data!$A:$A,6,BOM_Data!$C:$C,"Tin (solder)")</f>
        <v>0.1</v>
      </c>
      <c r="J7" s="6">
        <f>SUMIFS(BOM_Data!$D:$D,BOM_Data!$A:$A,6,BOM_Data!$C:$C,"Silicon")</f>
        <v>0.15</v>
      </c>
      <c r="K7" s="6">
        <f>SUMIFS(BOM_Data!$D:$D,BOM_Data!$A:$A,6,BOM_Data!$C:$C,"Mixed terminations")</f>
        <v>0</v>
      </c>
      <c r="L7" s="6">
        <f>SUMIFS(BOM_Data!$D:$D,BOM_Data!$A:$A,6,BOM_Data!$C:$C,"Nickel")</f>
        <v>0</v>
      </c>
      <c r="M7" s="6">
        <f>SUMIFS(BOM_Data!$D:$D,BOM_Data!$A:$A,6,BOM_Data!$C:$C,"Tantalum")</f>
        <v>0</v>
      </c>
      <c r="N7" s="6">
        <f>SUMIFS(BOM_Data!$D:$D,BOM_Data!$A:$A,6,BOM_Data!$C:$C,"Gold")</f>
        <v>0</v>
      </c>
      <c r="O7" s="6">
        <f>SUMIFS(BOM_Data!$D:$D,BOM_Data!$A:$A,6,BOM_Data!$C:$C,"Silver")</f>
        <v>0</v>
      </c>
      <c r="P7" s="6">
        <f>SUMIFS(BOM_Data!$D:$D,BOM_Data!$A:$A,6,BOM_Data!$C:$C,"Palladium")</f>
        <v>0</v>
      </c>
      <c r="Q7" s="6">
        <f>SUMIFS(BOM_Data!$D:$D,BOM_Data!$A:$A,6,BOM_Data!$C:$C,"Other")</f>
        <v>0</v>
      </c>
      <c r="R7" s="7">
        <f t="shared" si="0"/>
        <v>1</v>
      </c>
    </row>
    <row r="8" spans="1:18" x14ac:dyDescent="0.3">
      <c r="A8" s="1" t="s">
        <v>70</v>
      </c>
      <c r="B8" s="6">
        <f>SUMIFS(BOM_Data!$D:$D,BOM_Data!$A:$A,7,BOM_Data!$C:$C,"Aluminium")</f>
        <v>0</v>
      </c>
      <c r="C8" s="6">
        <f>SUMIFS(BOM_Data!$D:$D,BOM_Data!$A:$A,7,BOM_Data!$C:$C,"Copper")</f>
        <v>0.2</v>
      </c>
      <c r="D8" s="6">
        <f>SUMIFS(BOM_Data!$D:$D,BOM_Data!$A:$A,7,BOM_Data!$C:$C,"Polymers/epoxy")</f>
        <v>0</v>
      </c>
      <c r="E8" s="6">
        <f>SUMIFS(BOM_Data!$D:$D,BOM_Data!$A:$A,7,BOM_Data!$C:$C,"Glass fibre")</f>
        <v>0</v>
      </c>
      <c r="F8" s="6">
        <f>SUMIFS(BOM_Data!$D:$D,BOM_Data!$A:$A,7,BOM_Data!$C:$C,"Ceramics")</f>
        <v>0.6</v>
      </c>
      <c r="G8" s="6">
        <f>SUMIFS(BOM_Data!$D:$D,BOM_Data!$A:$A,7,BOM_Data!$C:$C,"Steel/Fe")</f>
        <v>0</v>
      </c>
      <c r="H8" s="6">
        <f>SUMIFS(BOM_Data!$D:$D,BOM_Data!$A:$A,7,BOM_Data!$C:$C,"Silicone")</f>
        <v>0</v>
      </c>
      <c r="I8" s="6">
        <f>SUMIFS(BOM_Data!$D:$D,BOM_Data!$A:$A,7,BOM_Data!$C:$C,"Tin (solder)")</f>
        <v>0</v>
      </c>
      <c r="J8" s="6">
        <f>SUMIFS(BOM_Data!$D:$D,BOM_Data!$A:$A,7,BOM_Data!$C:$C,"Silicon")</f>
        <v>0.2</v>
      </c>
      <c r="K8" s="6">
        <f>SUMIFS(BOM_Data!$D:$D,BOM_Data!$A:$A,7,BOM_Data!$C:$C,"Mixed terminations")</f>
        <v>0</v>
      </c>
      <c r="L8" s="6">
        <f>SUMIFS(BOM_Data!$D:$D,BOM_Data!$A:$A,7,BOM_Data!$C:$C,"Nickel")</f>
        <v>0</v>
      </c>
      <c r="M8" s="6">
        <f>SUMIFS(BOM_Data!$D:$D,BOM_Data!$A:$A,7,BOM_Data!$C:$C,"Tantalum")</f>
        <v>0</v>
      </c>
      <c r="N8" s="6">
        <f>SUMIFS(BOM_Data!$D:$D,BOM_Data!$A:$A,7,BOM_Data!$C:$C,"Gold")</f>
        <v>0</v>
      </c>
      <c r="O8" s="6">
        <f>SUMIFS(BOM_Data!$D:$D,BOM_Data!$A:$A,7,BOM_Data!$C:$C,"Silver")</f>
        <v>0</v>
      </c>
      <c r="P8" s="6">
        <f>SUMIFS(BOM_Data!$D:$D,BOM_Data!$A:$A,7,BOM_Data!$C:$C,"Palladium")</f>
        <v>0</v>
      </c>
      <c r="Q8" s="6">
        <f>SUMIFS(BOM_Data!$D:$D,BOM_Data!$A:$A,7,BOM_Data!$C:$C,"Other")</f>
        <v>0</v>
      </c>
      <c r="R8" s="7">
        <f t="shared" si="0"/>
        <v>1</v>
      </c>
    </row>
    <row r="9" spans="1:18" x14ac:dyDescent="0.3">
      <c r="A9" s="1" t="s">
        <v>72</v>
      </c>
      <c r="B9" s="6">
        <f>SUMIFS(BOM_Data!$D:$D,BOM_Data!$A:$A,8,BOM_Data!$C:$C,"Aluminium")</f>
        <v>0</v>
      </c>
      <c r="C9" s="6">
        <f>SUMIFS(BOM_Data!$D:$D,BOM_Data!$A:$A,8,BOM_Data!$C:$C,"Copper")</f>
        <v>4.5</v>
      </c>
      <c r="D9" s="6">
        <f>SUMIFS(BOM_Data!$D:$D,BOM_Data!$A:$A,8,BOM_Data!$C:$C,"Polymers/epoxy")</f>
        <v>3.6</v>
      </c>
      <c r="E9" s="6">
        <f>SUMIFS(BOM_Data!$D:$D,BOM_Data!$A:$A,8,BOM_Data!$C:$C,"Glass fibre")</f>
        <v>0</v>
      </c>
      <c r="F9" s="6">
        <f>SUMIFS(BOM_Data!$D:$D,BOM_Data!$A:$A,8,BOM_Data!$C:$C,"Ceramics")</f>
        <v>0</v>
      </c>
      <c r="G9" s="6">
        <f>SUMIFS(BOM_Data!$D:$D,BOM_Data!$A:$A,8,BOM_Data!$C:$C,"Steel/Fe")</f>
        <v>0</v>
      </c>
      <c r="H9" s="6">
        <f>SUMIFS(BOM_Data!$D:$D,BOM_Data!$A:$A,8,BOM_Data!$C:$C,"Silicone")</f>
        <v>0</v>
      </c>
      <c r="I9" s="6">
        <f>SUMIFS(BOM_Data!$D:$D,BOM_Data!$A:$A,8,BOM_Data!$C:$C,"Tin (solder)")</f>
        <v>0</v>
      </c>
      <c r="J9" s="6">
        <f>SUMIFS(BOM_Data!$D:$D,BOM_Data!$A:$A,8,BOM_Data!$C:$C,"Silicon")</f>
        <v>0.9</v>
      </c>
      <c r="K9" s="6">
        <f>SUMIFS(BOM_Data!$D:$D,BOM_Data!$A:$A,8,BOM_Data!$C:$C,"Mixed terminations")</f>
        <v>0</v>
      </c>
      <c r="L9" s="6">
        <f>SUMIFS(BOM_Data!$D:$D,BOM_Data!$A:$A,8,BOM_Data!$C:$C,"Nickel")</f>
        <v>0</v>
      </c>
      <c r="M9" s="6">
        <f>SUMIFS(BOM_Data!$D:$D,BOM_Data!$A:$A,8,BOM_Data!$C:$C,"Tantalum")</f>
        <v>0</v>
      </c>
      <c r="N9" s="6">
        <f>SUMIFS(BOM_Data!$D:$D,BOM_Data!$A:$A,8,BOM_Data!$C:$C,"Gold")</f>
        <v>0</v>
      </c>
      <c r="O9" s="6">
        <f>SUMIFS(BOM_Data!$D:$D,BOM_Data!$A:$A,8,BOM_Data!$C:$C,"Silver")</f>
        <v>0</v>
      </c>
      <c r="P9" s="6">
        <f>SUMIFS(BOM_Data!$D:$D,BOM_Data!$A:$A,8,BOM_Data!$C:$C,"Palladium")</f>
        <v>0</v>
      </c>
      <c r="Q9" s="6">
        <f>SUMIFS(BOM_Data!$D:$D,BOM_Data!$A:$A,8,BOM_Data!$C:$C,"Other")</f>
        <v>0</v>
      </c>
      <c r="R9" s="7">
        <f t="shared" si="0"/>
        <v>9</v>
      </c>
    </row>
    <row r="10" spans="1:18" x14ac:dyDescent="0.3">
      <c r="A10" s="1" t="s">
        <v>74</v>
      </c>
      <c r="B10" s="6">
        <f>SUMIFS(BOM_Data!$D:$D,BOM_Data!$A:$A,9,BOM_Data!$C:$C,"Aluminium")</f>
        <v>0</v>
      </c>
      <c r="C10" s="6">
        <f>SUMIFS(BOM_Data!$D:$D,BOM_Data!$A:$A,9,BOM_Data!$C:$C,"Copper")</f>
        <v>1.2</v>
      </c>
      <c r="D10" s="6">
        <f>SUMIFS(BOM_Data!$D:$D,BOM_Data!$A:$A,9,BOM_Data!$C:$C,"Polymers/epoxy")</f>
        <v>1.5</v>
      </c>
      <c r="E10" s="6">
        <f>SUMIFS(BOM_Data!$D:$D,BOM_Data!$A:$A,9,BOM_Data!$C:$C,"Glass fibre")</f>
        <v>0</v>
      </c>
      <c r="F10" s="6">
        <f>SUMIFS(BOM_Data!$D:$D,BOM_Data!$A:$A,9,BOM_Data!$C:$C,"Ceramics")</f>
        <v>0</v>
      </c>
      <c r="G10" s="6">
        <f>SUMIFS(BOM_Data!$D:$D,BOM_Data!$A:$A,9,BOM_Data!$C:$C,"Steel/Fe")</f>
        <v>0</v>
      </c>
      <c r="H10" s="6">
        <f>SUMIFS(BOM_Data!$D:$D,BOM_Data!$A:$A,9,BOM_Data!$C:$C,"Silicone")</f>
        <v>0</v>
      </c>
      <c r="I10" s="6">
        <f>SUMIFS(BOM_Data!$D:$D,BOM_Data!$A:$A,9,BOM_Data!$C:$C,"Tin (solder)")</f>
        <v>0</v>
      </c>
      <c r="J10" s="6">
        <f>SUMIFS(BOM_Data!$D:$D,BOM_Data!$A:$A,9,BOM_Data!$C:$C,"Silicon")</f>
        <v>0.3</v>
      </c>
      <c r="K10" s="6">
        <f>SUMIFS(BOM_Data!$D:$D,BOM_Data!$A:$A,9,BOM_Data!$C:$C,"Mixed terminations")</f>
        <v>0</v>
      </c>
      <c r="L10" s="6">
        <f>SUMIFS(BOM_Data!$D:$D,BOM_Data!$A:$A,9,BOM_Data!$C:$C,"Nickel")</f>
        <v>0</v>
      </c>
      <c r="M10" s="6">
        <f>SUMIFS(BOM_Data!$D:$D,BOM_Data!$A:$A,9,BOM_Data!$C:$C,"Tantalum")</f>
        <v>0</v>
      </c>
      <c r="N10" s="6">
        <f>SUMIFS(BOM_Data!$D:$D,BOM_Data!$A:$A,9,BOM_Data!$C:$C,"Gold")</f>
        <v>0</v>
      </c>
      <c r="O10" s="6">
        <f>SUMIFS(BOM_Data!$D:$D,BOM_Data!$A:$A,9,BOM_Data!$C:$C,"Silver")</f>
        <v>0</v>
      </c>
      <c r="P10" s="6">
        <f>SUMIFS(BOM_Data!$D:$D,BOM_Data!$A:$A,9,BOM_Data!$C:$C,"Palladium")</f>
        <v>0</v>
      </c>
      <c r="Q10" s="6">
        <f>SUMIFS(BOM_Data!$D:$D,BOM_Data!$A:$A,9,BOM_Data!$C:$C,"Other")</f>
        <v>0</v>
      </c>
      <c r="R10" s="7">
        <f t="shared" si="0"/>
        <v>3</v>
      </c>
    </row>
    <row r="11" spans="1:18" x14ac:dyDescent="0.3">
      <c r="A11" s="1" t="s">
        <v>75</v>
      </c>
      <c r="B11" s="6">
        <f>SUMIFS(BOM_Data!$D:$D,BOM_Data!$A:$A,10,BOM_Data!$C:$C,"Aluminium")</f>
        <v>0</v>
      </c>
      <c r="C11" s="6">
        <f>SUMIFS(BOM_Data!$D:$D,BOM_Data!$A:$A,10,BOM_Data!$C:$C,"Copper")</f>
        <v>0.5</v>
      </c>
      <c r="D11" s="6">
        <f>SUMIFS(BOM_Data!$D:$D,BOM_Data!$A:$A,10,BOM_Data!$C:$C,"Polymers/epoxy")</f>
        <v>0.85</v>
      </c>
      <c r="E11" s="6">
        <f>SUMIFS(BOM_Data!$D:$D,BOM_Data!$A:$A,10,BOM_Data!$C:$C,"Glass fibre")</f>
        <v>0</v>
      </c>
      <c r="F11" s="6">
        <f>SUMIFS(BOM_Data!$D:$D,BOM_Data!$A:$A,10,BOM_Data!$C:$C,"Ceramics")</f>
        <v>0</v>
      </c>
      <c r="G11" s="6">
        <f>SUMIFS(BOM_Data!$D:$D,BOM_Data!$A:$A,10,BOM_Data!$C:$C,"Steel/Fe")</f>
        <v>0</v>
      </c>
      <c r="H11" s="6">
        <f>SUMIFS(BOM_Data!$D:$D,BOM_Data!$A:$A,10,BOM_Data!$C:$C,"Silicone")</f>
        <v>0</v>
      </c>
      <c r="I11" s="6">
        <f>SUMIFS(BOM_Data!$D:$D,BOM_Data!$A:$A,10,BOM_Data!$C:$C,"Tin (solder)")</f>
        <v>0</v>
      </c>
      <c r="J11" s="6">
        <f>SUMIFS(BOM_Data!$D:$D,BOM_Data!$A:$A,10,BOM_Data!$C:$C,"Silicon")</f>
        <v>0.15</v>
      </c>
      <c r="K11" s="6">
        <f>SUMIFS(BOM_Data!$D:$D,BOM_Data!$A:$A,10,BOM_Data!$C:$C,"Mixed terminations")</f>
        <v>0</v>
      </c>
      <c r="L11" s="6">
        <f>SUMIFS(BOM_Data!$D:$D,BOM_Data!$A:$A,10,BOM_Data!$C:$C,"Nickel")</f>
        <v>0</v>
      </c>
      <c r="M11" s="6">
        <f>SUMIFS(BOM_Data!$D:$D,BOM_Data!$A:$A,10,BOM_Data!$C:$C,"Tantalum")</f>
        <v>0</v>
      </c>
      <c r="N11" s="6">
        <f>SUMIFS(BOM_Data!$D:$D,BOM_Data!$A:$A,10,BOM_Data!$C:$C,"Gold")</f>
        <v>0</v>
      </c>
      <c r="O11" s="6">
        <f>SUMIFS(BOM_Data!$D:$D,BOM_Data!$A:$A,10,BOM_Data!$C:$C,"Silver")</f>
        <v>0</v>
      </c>
      <c r="P11" s="6">
        <f>SUMIFS(BOM_Data!$D:$D,BOM_Data!$A:$A,10,BOM_Data!$C:$C,"Palladium")</f>
        <v>0</v>
      </c>
      <c r="Q11" s="6">
        <f>SUMIFS(BOM_Data!$D:$D,BOM_Data!$A:$A,10,BOM_Data!$C:$C,"Other")</f>
        <v>0</v>
      </c>
      <c r="R11" s="7">
        <f t="shared" si="0"/>
        <v>1.5</v>
      </c>
    </row>
    <row r="12" spans="1:18" x14ac:dyDescent="0.3">
      <c r="A12" s="1" t="s">
        <v>76</v>
      </c>
      <c r="B12" s="6">
        <f>SUMIFS(BOM_Data!$D:$D,BOM_Data!$A:$A,11,BOM_Data!$C:$C,"Aluminium")</f>
        <v>0</v>
      </c>
      <c r="C12" s="6">
        <f>SUMIFS(BOM_Data!$D:$D,BOM_Data!$A:$A,11,BOM_Data!$C:$C,"Copper")</f>
        <v>0.4</v>
      </c>
      <c r="D12" s="6">
        <f>SUMIFS(BOM_Data!$D:$D,BOM_Data!$A:$A,11,BOM_Data!$C:$C,"Polymers/epoxy")</f>
        <v>0.7</v>
      </c>
      <c r="E12" s="6">
        <f>SUMIFS(BOM_Data!$D:$D,BOM_Data!$A:$A,11,BOM_Data!$C:$C,"Glass fibre")</f>
        <v>0</v>
      </c>
      <c r="F12" s="6">
        <f>SUMIFS(BOM_Data!$D:$D,BOM_Data!$A:$A,11,BOM_Data!$C:$C,"Ceramics")</f>
        <v>0</v>
      </c>
      <c r="G12" s="6">
        <f>SUMIFS(BOM_Data!$D:$D,BOM_Data!$A:$A,11,BOM_Data!$C:$C,"Steel/Fe")</f>
        <v>0</v>
      </c>
      <c r="H12" s="6">
        <f>SUMIFS(BOM_Data!$D:$D,BOM_Data!$A:$A,11,BOM_Data!$C:$C,"Silicone")</f>
        <v>0</v>
      </c>
      <c r="I12" s="6">
        <f>SUMIFS(BOM_Data!$D:$D,BOM_Data!$A:$A,11,BOM_Data!$C:$C,"Tin (solder)")</f>
        <v>0</v>
      </c>
      <c r="J12" s="6">
        <f>SUMIFS(BOM_Data!$D:$D,BOM_Data!$A:$A,11,BOM_Data!$C:$C,"Silicon")</f>
        <v>0.1</v>
      </c>
      <c r="K12" s="6">
        <f>SUMIFS(BOM_Data!$D:$D,BOM_Data!$A:$A,11,BOM_Data!$C:$C,"Mixed terminations")</f>
        <v>0</v>
      </c>
      <c r="L12" s="6">
        <f>SUMIFS(BOM_Data!$D:$D,BOM_Data!$A:$A,11,BOM_Data!$C:$C,"Nickel")</f>
        <v>0</v>
      </c>
      <c r="M12" s="6">
        <f>SUMIFS(BOM_Data!$D:$D,BOM_Data!$A:$A,11,BOM_Data!$C:$C,"Tantalum")</f>
        <v>0</v>
      </c>
      <c r="N12" s="6">
        <f>SUMIFS(BOM_Data!$D:$D,BOM_Data!$A:$A,11,BOM_Data!$C:$C,"Gold")</f>
        <v>0</v>
      </c>
      <c r="O12" s="6">
        <f>SUMIFS(BOM_Data!$D:$D,BOM_Data!$A:$A,11,BOM_Data!$C:$C,"Silver")</f>
        <v>0</v>
      </c>
      <c r="P12" s="6">
        <f>SUMIFS(BOM_Data!$D:$D,BOM_Data!$A:$A,11,BOM_Data!$C:$C,"Palladium")</f>
        <v>0</v>
      </c>
      <c r="Q12" s="6">
        <f>SUMIFS(BOM_Data!$D:$D,BOM_Data!$A:$A,11,BOM_Data!$C:$C,"Other")</f>
        <v>0</v>
      </c>
      <c r="R12" s="7">
        <f t="shared" si="0"/>
        <v>1.2000000000000002</v>
      </c>
    </row>
    <row r="13" spans="1:18" x14ac:dyDescent="0.3">
      <c r="A13" s="1" t="s">
        <v>77</v>
      </c>
      <c r="B13" s="6">
        <f>SUMIFS(BOM_Data!$D:$D,BOM_Data!$A:$A,12,BOM_Data!$C:$C,"Aluminium")</f>
        <v>0</v>
      </c>
      <c r="C13" s="6">
        <f>SUMIFS(BOM_Data!$D:$D,BOM_Data!$A:$A,12,BOM_Data!$C:$C,"Copper")</f>
        <v>0</v>
      </c>
      <c r="D13" s="6">
        <f>SUMIFS(BOM_Data!$D:$D,BOM_Data!$A:$A,12,BOM_Data!$C:$C,"Polymers/epoxy")</f>
        <v>1.6</v>
      </c>
      <c r="E13" s="6">
        <f>SUMIFS(BOM_Data!$D:$D,BOM_Data!$A:$A,12,BOM_Data!$C:$C,"Glass fibre")</f>
        <v>0</v>
      </c>
      <c r="F13" s="6">
        <f>SUMIFS(BOM_Data!$D:$D,BOM_Data!$A:$A,12,BOM_Data!$C:$C,"Ceramics")</f>
        <v>0</v>
      </c>
      <c r="G13" s="6">
        <f>SUMIFS(BOM_Data!$D:$D,BOM_Data!$A:$A,12,BOM_Data!$C:$C,"Steel/Fe")</f>
        <v>0</v>
      </c>
      <c r="H13" s="6">
        <f>SUMIFS(BOM_Data!$D:$D,BOM_Data!$A:$A,12,BOM_Data!$C:$C,"Silicone")</f>
        <v>0</v>
      </c>
      <c r="I13" s="6">
        <f>SUMIFS(BOM_Data!$D:$D,BOM_Data!$A:$A,12,BOM_Data!$C:$C,"Tin (solder)")</f>
        <v>0</v>
      </c>
      <c r="J13" s="6">
        <f>SUMIFS(BOM_Data!$D:$D,BOM_Data!$A:$A,12,BOM_Data!$C:$C,"Silicon")</f>
        <v>0</v>
      </c>
      <c r="K13" s="6">
        <f>SUMIFS(BOM_Data!$D:$D,BOM_Data!$A:$A,12,BOM_Data!$C:$C,"Mixed terminations")</f>
        <v>0</v>
      </c>
      <c r="L13" s="6">
        <f>SUMIFS(BOM_Data!$D:$D,BOM_Data!$A:$A,12,BOM_Data!$C:$C,"Nickel")</f>
        <v>0</v>
      </c>
      <c r="M13" s="6">
        <f>SUMIFS(BOM_Data!$D:$D,BOM_Data!$A:$A,12,BOM_Data!$C:$C,"Tantalum")</f>
        <v>0.9</v>
      </c>
      <c r="N13" s="6">
        <f>SUMIFS(BOM_Data!$D:$D,BOM_Data!$A:$A,12,BOM_Data!$C:$C,"Gold")</f>
        <v>0</v>
      </c>
      <c r="O13" s="6">
        <f>SUMIFS(BOM_Data!$D:$D,BOM_Data!$A:$A,12,BOM_Data!$C:$C,"Silver")</f>
        <v>0</v>
      </c>
      <c r="P13" s="6">
        <f>SUMIFS(BOM_Data!$D:$D,BOM_Data!$A:$A,12,BOM_Data!$C:$C,"Palladium")</f>
        <v>0</v>
      </c>
      <c r="Q13" s="6">
        <f>SUMIFS(BOM_Data!$D:$D,BOM_Data!$A:$A,12,BOM_Data!$C:$C,"Other")</f>
        <v>0</v>
      </c>
      <c r="R13" s="7">
        <f t="shared" si="0"/>
        <v>2.5</v>
      </c>
    </row>
    <row r="14" spans="1:18" x14ac:dyDescent="0.3">
      <c r="A14" s="1" t="s">
        <v>81</v>
      </c>
      <c r="B14" s="6">
        <f>SUMIFS(BOM_Data!$D:$D,BOM_Data!$A:$A,13,BOM_Data!$C:$C,"Aluminium")</f>
        <v>3.3</v>
      </c>
      <c r="C14" s="6">
        <f>SUMIFS(BOM_Data!$D:$D,BOM_Data!$A:$A,13,BOM_Data!$C:$C,"Copper")</f>
        <v>0</v>
      </c>
      <c r="D14" s="6">
        <f>SUMIFS(BOM_Data!$D:$D,BOM_Data!$A:$A,13,BOM_Data!$C:$C,"Polymers/epoxy")</f>
        <v>1.6</v>
      </c>
      <c r="E14" s="6">
        <f>SUMIFS(BOM_Data!$D:$D,BOM_Data!$A:$A,13,BOM_Data!$C:$C,"Glass fibre")</f>
        <v>0</v>
      </c>
      <c r="F14" s="6">
        <f>SUMIFS(BOM_Data!$D:$D,BOM_Data!$A:$A,13,BOM_Data!$C:$C,"Ceramics")</f>
        <v>25</v>
      </c>
      <c r="G14" s="6">
        <f>SUMIFS(BOM_Data!$D:$D,BOM_Data!$A:$A,13,BOM_Data!$C:$C,"Steel/Fe")</f>
        <v>5</v>
      </c>
      <c r="H14" s="6">
        <f>SUMIFS(BOM_Data!$D:$D,BOM_Data!$A:$A,13,BOM_Data!$C:$C,"Silicone")</f>
        <v>0</v>
      </c>
      <c r="I14" s="6">
        <f>SUMIFS(BOM_Data!$D:$D,BOM_Data!$A:$A,13,BOM_Data!$C:$C,"Tin (solder)")</f>
        <v>0</v>
      </c>
      <c r="J14" s="6">
        <f>SUMIFS(BOM_Data!$D:$D,BOM_Data!$A:$A,13,BOM_Data!$C:$C,"Silicon")</f>
        <v>0</v>
      </c>
      <c r="K14" s="6">
        <f>SUMIFS(BOM_Data!$D:$D,BOM_Data!$A:$A,13,BOM_Data!$C:$C,"Mixed terminations")</f>
        <v>10</v>
      </c>
      <c r="L14" s="6">
        <f>SUMIFS(BOM_Data!$D:$D,BOM_Data!$A:$A,13,BOM_Data!$C:$C,"Nickel")</f>
        <v>0</v>
      </c>
      <c r="M14" s="6">
        <f>SUMIFS(BOM_Data!$D:$D,BOM_Data!$A:$A,13,BOM_Data!$C:$C,"Tantalum")</f>
        <v>0</v>
      </c>
      <c r="N14" s="6">
        <f>SUMIFS(BOM_Data!$D:$D,BOM_Data!$A:$A,13,BOM_Data!$C:$C,"Gold")</f>
        <v>3.1699999999999999E-2</v>
      </c>
      <c r="O14" s="6">
        <f>SUMIFS(BOM_Data!$D:$D,BOM_Data!$A:$A,13,BOM_Data!$C:$C,"Silver")</f>
        <v>5.9299999999999999E-2</v>
      </c>
      <c r="P14" s="6">
        <f>SUMIFS(BOM_Data!$D:$D,BOM_Data!$A:$A,13,BOM_Data!$C:$C,"Palladium")</f>
        <v>5.4999999999999997E-3</v>
      </c>
      <c r="Q14" s="6">
        <f>SUMIFS(BOM_Data!$D:$D,BOM_Data!$A:$A,13,BOM_Data!$C:$C,"Other")</f>
        <v>0</v>
      </c>
      <c r="R14" s="7">
        <f t="shared" si="0"/>
        <v>44.996499999999997</v>
      </c>
    </row>
    <row r="15" spans="1:18" x14ac:dyDescent="0.3">
      <c r="A15" s="1" t="s">
        <v>91</v>
      </c>
      <c r="B15" s="6">
        <f>SUMIFS(BOM_Data!$D:$D,BOM_Data!$A:$A,14,BOM_Data!$C:$C,"Aluminium")</f>
        <v>0</v>
      </c>
      <c r="C15" s="6">
        <f>SUMIFS(BOM_Data!$D:$D,BOM_Data!$A:$A,14,BOM_Data!$C:$C,"Copper")</f>
        <v>0</v>
      </c>
      <c r="D15" s="6">
        <f>SUMIFS(BOM_Data!$D:$D,BOM_Data!$A:$A,14,BOM_Data!$C:$C,"Polymers/epoxy")</f>
        <v>0</v>
      </c>
      <c r="E15" s="6">
        <f>SUMIFS(BOM_Data!$D:$D,BOM_Data!$A:$A,14,BOM_Data!$C:$C,"Glass fibre")</f>
        <v>0</v>
      </c>
      <c r="F15" s="6">
        <f>SUMIFS(BOM_Data!$D:$D,BOM_Data!$A:$A,14,BOM_Data!$C:$C,"Ceramics")</f>
        <v>0</v>
      </c>
      <c r="G15" s="6">
        <f>SUMIFS(BOM_Data!$D:$D,BOM_Data!$A:$A,14,BOM_Data!$C:$C,"Steel/Fe")</f>
        <v>0</v>
      </c>
      <c r="H15" s="6">
        <f>SUMIFS(BOM_Data!$D:$D,BOM_Data!$A:$A,14,BOM_Data!$C:$C,"Silicone")</f>
        <v>0</v>
      </c>
      <c r="I15" s="6">
        <f>SUMIFS(BOM_Data!$D:$D,BOM_Data!$A:$A,14,BOM_Data!$C:$C,"Tin (solder)")</f>
        <v>3.9</v>
      </c>
      <c r="J15" s="6">
        <f>SUMIFS(BOM_Data!$D:$D,BOM_Data!$A:$A,14,BOM_Data!$C:$C,"Silicon")</f>
        <v>0</v>
      </c>
      <c r="K15" s="6">
        <f>SUMIFS(BOM_Data!$D:$D,BOM_Data!$A:$A,14,BOM_Data!$C:$C,"Mixed terminations")</f>
        <v>0</v>
      </c>
      <c r="L15" s="6">
        <f>SUMIFS(BOM_Data!$D:$D,BOM_Data!$A:$A,14,BOM_Data!$C:$C,"Nickel")</f>
        <v>0</v>
      </c>
      <c r="M15" s="6">
        <f>SUMIFS(BOM_Data!$D:$D,BOM_Data!$A:$A,14,BOM_Data!$C:$C,"Tantalum")</f>
        <v>0</v>
      </c>
      <c r="N15" s="6">
        <f>SUMIFS(BOM_Data!$D:$D,BOM_Data!$A:$A,14,BOM_Data!$C:$C,"Gold")</f>
        <v>0</v>
      </c>
      <c r="O15" s="6">
        <f>SUMIFS(BOM_Data!$D:$D,BOM_Data!$A:$A,14,BOM_Data!$C:$C,"Silver")</f>
        <v>0</v>
      </c>
      <c r="P15" s="6">
        <f>SUMIFS(BOM_Data!$D:$D,BOM_Data!$A:$A,14,BOM_Data!$C:$C,"Palladium")</f>
        <v>0</v>
      </c>
      <c r="Q15" s="6">
        <f>SUMIFS(BOM_Data!$D:$D,BOM_Data!$A:$A,14,BOM_Data!$C:$C,"Other")</f>
        <v>0</v>
      </c>
      <c r="R15" s="7">
        <f t="shared" si="0"/>
        <v>3.9</v>
      </c>
    </row>
    <row r="16" spans="1:18" x14ac:dyDescent="0.3">
      <c r="A16" s="1" t="s">
        <v>93</v>
      </c>
      <c r="B16" s="6">
        <f>SUMIFS(BOM_Data!$D:$D,BOM_Data!$A:$A,15,BOM_Data!$C:$C,"Aluminium")</f>
        <v>0</v>
      </c>
      <c r="C16" s="6">
        <f>SUMIFS(BOM_Data!$D:$D,BOM_Data!$A:$A,15,BOM_Data!$C:$C,"Copper")</f>
        <v>0</v>
      </c>
      <c r="D16" s="6">
        <f>SUMIFS(BOM_Data!$D:$D,BOM_Data!$A:$A,15,BOM_Data!$C:$C,"Polymers/epoxy")</f>
        <v>0</v>
      </c>
      <c r="E16" s="6">
        <f>SUMIFS(BOM_Data!$D:$D,BOM_Data!$A:$A,15,BOM_Data!$C:$C,"Glass fibre")</f>
        <v>0</v>
      </c>
      <c r="F16" s="6">
        <f>SUMIFS(BOM_Data!$D:$D,BOM_Data!$A:$A,15,BOM_Data!$C:$C,"Ceramics")</f>
        <v>0</v>
      </c>
      <c r="G16" s="6">
        <f>SUMIFS(BOM_Data!$D:$D,BOM_Data!$A:$A,15,BOM_Data!$C:$C,"Steel/Fe")</f>
        <v>0</v>
      </c>
      <c r="H16" s="6">
        <f>SUMIFS(BOM_Data!$D:$D,BOM_Data!$A:$A,15,BOM_Data!$C:$C,"Silicone")</f>
        <v>8</v>
      </c>
      <c r="I16" s="6">
        <f>SUMIFS(BOM_Data!$D:$D,BOM_Data!$A:$A,15,BOM_Data!$C:$C,"Tin (solder)")</f>
        <v>0</v>
      </c>
      <c r="J16" s="6">
        <f>SUMIFS(BOM_Data!$D:$D,BOM_Data!$A:$A,15,BOM_Data!$C:$C,"Silicon")</f>
        <v>0</v>
      </c>
      <c r="K16" s="6">
        <f>SUMIFS(BOM_Data!$D:$D,BOM_Data!$A:$A,15,BOM_Data!$C:$C,"Mixed terminations")</f>
        <v>0</v>
      </c>
      <c r="L16" s="6">
        <f>SUMIFS(BOM_Data!$D:$D,BOM_Data!$A:$A,15,BOM_Data!$C:$C,"Nickel")</f>
        <v>0</v>
      </c>
      <c r="M16" s="6">
        <f>SUMIFS(BOM_Data!$D:$D,BOM_Data!$A:$A,15,BOM_Data!$C:$C,"Tantalum")</f>
        <v>0</v>
      </c>
      <c r="N16" s="6">
        <f>SUMIFS(BOM_Data!$D:$D,BOM_Data!$A:$A,15,BOM_Data!$C:$C,"Gold")</f>
        <v>0</v>
      </c>
      <c r="O16" s="6">
        <f>SUMIFS(BOM_Data!$D:$D,BOM_Data!$A:$A,15,BOM_Data!$C:$C,"Silver")</f>
        <v>0</v>
      </c>
      <c r="P16" s="6">
        <f>SUMIFS(BOM_Data!$D:$D,BOM_Data!$A:$A,15,BOM_Data!$C:$C,"Palladium")</f>
        <v>0</v>
      </c>
      <c r="Q16" s="6">
        <f>SUMIFS(BOM_Data!$D:$D,BOM_Data!$A:$A,15,BOM_Data!$C:$C,"Other")</f>
        <v>0</v>
      </c>
      <c r="R16" s="7">
        <f t="shared" si="0"/>
        <v>8</v>
      </c>
    </row>
    <row r="17" spans="1:18" x14ac:dyDescent="0.3">
      <c r="A17" s="1" t="s">
        <v>94</v>
      </c>
      <c r="B17" s="6">
        <f>SUMIFS(BOM_Data!$D:$D,BOM_Data!$A:$A,16,BOM_Data!$C:$C,"Aluminium")</f>
        <v>0</v>
      </c>
      <c r="C17" s="6">
        <f>SUMIFS(BOM_Data!$D:$D,BOM_Data!$A:$A,16,BOM_Data!$C:$C,"Copper")</f>
        <v>0</v>
      </c>
      <c r="D17" s="6">
        <f>SUMIFS(BOM_Data!$D:$D,BOM_Data!$A:$A,16,BOM_Data!$C:$C,"Polymers/epoxy")</f>
        <v>3</v>
      </c>
      <c r="E17" s="6">
        <f>SUMIFS(BOM_Data!$D:$D,BOM_Data!$A:$A,16,BOM_Data!$C:$C,"Glass fibre")</f>
        <v>0</v>
      </c>
      <c r="F17" s="6">
        <f>SUMIFS(BOM_Data!$D:$D,BOM_Data!$A:$A,16,BOM_Data!$C:$C,"Ceramics")</f>
        <v>0</v>
      </c>
      <c r="G17" s="6">
        <f>SUMIFS(BOM_Data!$D:$D,BOM_Data!$A:$A,16,BOM_Data!$C:$C,"Steel/Fe")</f>
        <v>0</v>
      </c>
      <c r="H17" s="6">
        <f>SUMIFS(BOM_Data!$D:$D,BOM_Data!$A:$A,16,BOM_Data!$C:$C,"Silicone")</f>
        <v>0</v>
      </c>
      <c r="I17" s="6">
        <f>SUMIFS(BOM_Data!$D:$D,BOM_Data!$A:$A,16,BOM_Data!$C:$C,"Tin (solder)")</f>
        <v>0</v>
      </c>
      <c r="J17" s="6">
        <f>SUMIFS(BOM_Data!$D:$D,BOM_Data!$A:$A,16,BOM_Data!$C:$C,"Silicon")</f>
        <v>0</v>
      </c>
      <c r="K17" s="6">
        <f>SUMIFS(BOM_Data!$D:$D,BOM_Data!$A:$A,16,BOM_Data!$C:$C,"Mixed terminations")</f>
        <v>0</v>
      </c>
      <c r="L17" s="6">
        <f>SUMIFS(BOM_Data!$D:$D,BOM_Data!$A:$A,16,BOM_Data!$C:$C,"Nickel")</f>
        <v>0</v>
      </c>
      <c r="M17" s="6">
        <f>SUMIFS(BOM_Data!$D:$D,BOM_Data!$A:$A,16,BOM_Data!$C:$C,"Tantalum")</f>
        <v>0</v>
      </c>
      <c r="N17" s="6">
        <f>SUMIFS(BOM_Data!$D:$D,BOM_Data!$A:$A,16,BOM_Data!$C:$C,"Gold")</f>
        <v>0</v>
      </c>
      <c r="O17" s="6">
        <f>SUMIFS(BOM_Data!$D:$D,BOM_Data!$A:$A,16,BOM_Data!$C:$C,"Silver")</f>
        <v>0</v>
      </c>
      <c r="P17" s="6">
        <f>SUMIFS(BOM_Data!$D:$D,BOM_Data!$A:$A,16,BOM_Data!$C:$C,"Palladium")</f>
        <v>0</v>
      </c>
      <c r="Q17" s="6">
        <f>SUMIFS(BOM_Data!$D:$D,BOM_Data!$A:$A,16,BOM_Data!$C:$C,"Other")</f>
        <v>0</v>
      </c>
      <c r="R17" s="7">
        <f t="shared" si="0"/>
        <v>3</v>
      </c>
    </row>
    <row r="18" spans="1:18" x14ac:dyDescent="0.3">
      <c r="A18" s="1" t="s">
        <v>95</v>
      </c>
      <c r="B18" s="6">
        <f>SUMIFS(BOM_Data!$D:$D,BOM_Data!$A:$A,17,BOM_Data!$C:$C,"Aluminium")</f>
        <v>0</v>
      </c>
      <c r="C18" s="6">
        <f>SUMIFS(BOM_Data!$D:$D,BOM_Data!$A:$A,17,BOM_Data!$C:$C,"Copper")</f>
        <v>0</v>
      </c>
      <c r="D18" s="6">
        <f>SUMIFS(BOM_Data!$D:$D,BOM_Data!$A:$A,17,BOM_Data!$C:$C,"Polymers/epoxy")</f>
        <v>5</v>
      </c>
      <c r="E18" s="6">
        <f>SUMIFS(BOM_Data!$D:$D,BOM_Data!$A:$A,17,BOM_Data!$C:$C,"Glass fibre")</f>
        <v>0</v>
      </c>
      <c r="F18" s="6">
        <f>SUMIFS(BOM_Data!$D:$D,BOM_Data!$A:$A,17,BOM_Data!$C:$C,"Ceramics")</f>
        <v>0</v>
      </c>
      <c r="G18" s="6">
        <f>SUMIFS(BOM_Data!$D:$D,BOM_Data!$A:$A,17,BOM_Data!$C:$C,"Steel/Fe")</f>
        <v>0</v>
      </c>
      <c r="H18" s="6">
        <f>SUMIFS(BOM_Data!$D:$D,BOM_Data!$A:$A,17,BOM_Data!$C:$C,"Silicone")</f>
        <v>0</v>
      </c>
      <c r="I18" s="6">
        <f>SUMIFS(BOM_Data!$D:$D,BOM_Data!$A:$A,17,BOM_Data!$C:$C,"Tin (solder)")</f>
        <v>0</v>
      </c>
      <c r="J18" s="6">
        <f>SUMIFS(BOM_Data!$D:$D,BOM_Data!$A:$A,17,BOM_Data!$C:$C,"Silicon")</f>
        <v>0</v>
      </c>
      <c r="K18" s="6">
        <f>SUMIFS(BOM_Data!$D:$D,BOM_Data!$A:$A,17,BOM_Data!$C:$C,"Mixed terminations")</f>
        <v>0</v>
      </c>
      <c r="L18" s="6">
        <f>SUMIFS(BOM_Data!$D:$D,BOM_Data!$A:$A,17,BOM_Data!$C:$C,"Nickel")</f>
        <v>0</v>
      </c>
      <c r="M18" s="6">
        <f>SUMIFS(BOM_Data!$D:$D,BOM_Data!$A:$A,17,BOM_Data!$C:$C,"Tantalum")</f>
        <v>0</v>
      </c>
      <c r="N18" s="6">
        <f>SUMIFS(BOM_Data!$D:$D,BOM_Data!$A:$A,17,BOM_Data!$C:$C,"Gold")</f>
        <v>0</v>
      </c>
      <c r="O18" s="6">
        <f>SUMIFS(BOM_Data!$D:$D,BOM_Data!$A:$A,17,BOM_Data!$C:$C,"Silver")</f>
        <v>0</v>
      </c>
      <c r="P18" s="6">
        <f>SUMIFS(BOM_Data!$D:$D,BOM_Data!$A:$A,17,BOM_Data!$C:$C,"Palladium")</f>
        <v>0</v>
      </c>
      <c r="Q18" s="6">
        <f>SUMIFS(BOM_Data!$D:$D,BOM_Data!$A:$A,17,BOM_Data!$C:$C,"Other")</f>
        <v>0</v>
      </c>
      <c r="R18" s="7">
        <f t="shared" si="0"/>
        <v>5</v>
      </c>
    </row>
    <row r="19" spans="1:18" x14ac:dyDescent="0.3">
      <c r="A19" s="2" t="s">
        <v>98</v>
      </c>
      <c r="R19" s="8">
        <f>SUM(R2:R18)</f>
        <v>660.15649999999994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tabSelected="1" zoomScaleNormal="100" workbookViewId="0">
      <selection activeCell="E22" sqref="E22"/>
    </sheetView>
  </sheetViews>
  <sheetFormatPr defaultColWidth="8.6640625" defaultRowHeight="14.4" x14ac:dyDescent="0.3"/>
  <cols>
    <col min="1" max="1" width="22" customWidth="1"/>
    <col min="2" max="4" width="12" customWidth="1"/>
    <col min="5" max="5" width="52" customWidth="1"/>
  </cols>
  <sheetData>
    <row r="1" spans="1:5" x14ac:dyDescent="0.3">
      <c r="A1" s="5" t="s">
        <v>41</v>
      </c>
      <c r="B1" s="5" t="s">
        <v>42</v>
      </c>
      <c r="C1" s="5" t="s">
        <v>99</v>
      </c>
      <c r="D1" s="5" t="s">
        <v>100</v>
      </c>
      <c r="E1" s="5" t="s">
        <v>101</v>
      </c>
    </row>
    <row r="2" spans="1:5" x14ac:dyDescent="0.3">
      <c r="A2" s="1" t="s">
        <v>48</v>
      </c>
      <c r="B2" s="9">
        <f>SUMIFS(BOM_Data!$D:$D,BOM_Data!$C:$C,"Aluminium")</f>
        <v>442.3</v>
      </c>
      <c r="C2" s="10">
        <f t="shared" ref="C2:C17" si="0">B2/SUM($B$2:$B$17)</f>
        <v>0.66999264568325856</v>
      </c>
      <c r="D2" s="11">
        <f t="shared" ref="D2:D17" si="1">B2*1000</f>
        <v>442300</v>
      </c>
      <c r="E2" s="1" t="s">
        <v>102</v>
      </c>
    </row>
    <row r="3" spans="1:5" x14ac:dyDescent="0.3">
      <c r="A3" s="1" t="s">
        <v>57</v>
      </c>
      <c r="B3" s="9">
        <f>SUMIFS(BOM_Data!$D:$D,BOM_Data!$C:$C,"Copper")</f>
        <v>57.750000000000007</v>
      </c>
      <c r="C3" s="10">
        <f t="shared" si="0"/>
        <v>8.7479256812589154E-2</v>
      </c>
      <c r="D3" s="11">
        <f t="shared" si="1"/>
        <v>57750.000000000007</v>
      </c>
      <c r="E3" s="1" t="s">
        <v>103</v>
      </c>
    </row>
    <row r="4" spans="1:5" x14ac:dyDescent="0.3">
      <c r="A4" s="1" t="s">
        <v>56</v>
      </c>
      <c r="B4" s="9">
        <f>SUMIFS(BOM_Data!$D:$D,BOM_Data!$C:$C,"Polymers/epoxy")</f>
        <v>56.850000000000009</v>
      </c>
      <c r="C4" s="10">
        <f t="shared" si="0"/>
        <v>8.6115943719405952E-2</v>
      </c>
      <c r="D4" s="11">
        <f t="shared" si="1"/>
        <v>56850.000000000007</v>
      </c>
      <c r="E4" s="1" t="s">
        <v>104</v>
      </c>
    </row>
    <row r="5" spans="1:5" x14ac:dyDescent="0.3">
      <c r="A5" s="1" t="s">
        <v>54</v>
      </c>
      <c r="B5" s="9">
        <f>SUMIFS(BOM_Data!$D:$D,BOM_Data!$C:$C,"Glass fibre")</f>
        <v>29</v>
      </c>
      <c r="C5" s="10">
        <f t="shared" si="0"/>
        <v>4.3928977447014461E-2</v>
      </c>
      <c r="D5" s="11">
        <f t="shared" si="1"/>
        <v>29000</v>
      </c>
      <c r="E5" s="1" t="s">
        <v>105</v>
      </c>
    </row>
    <row r="6" spans="1:5" x14ac:dyDescent="0.3">
      <c r="A6" s="1" t="s">
        <v>71</v>
      </c>
      <c r="B6" s="9">
        <f>SUMIFS(BOM_Data!$D:$D,BOM_Data!$C:$C,"Ceramics")</f>
        <v>25.6</v>
      </c>
      <c r="C6" s="10">
        <f t="shared" si="0"/>
        <v>3.8778683539433458E-2</v>
      </c>
      <c r="D6" s="11">
        <f t="shared" si="1"/>
        <v>25600</v>
      </c>
      <c r="E6" s="1" t="s">
        <v>106</v>
      </c>
    </row>
    <row r="7" spans="1:5" x14ac:dyDescent="0.3">
      <c r="A7" s="1" t="s">
        <v>51</v>
      </c>
      <c r="B7" s="9">
        <f>SUMIFS(BOM_Data!$D:$D,BOM_Data!$C:$C,"Steel/Fe")</f>
        <v>17</v>
      </c>
      <c r="C7" s="10">
        <f t="shared" si="0"/>
        <v>2.5751469537905029E-2</v>
      </c>
      <c r="D7" s="11">
        <f t="shared" si="1"/>
        <v>17000</v>
      </c>
      <c r="E7" s="1" t="s">
        <v>107</v>
      </c>
    </row>
    <row r="8" spans="1:5" x14ac:dyDescent="0.3">
      <c r="A8" s="1" t="s">
        <v>61</v>
      </c>
      <c r="B8" s="9">
        <f>SUMIFS(BOM_Data!$D:$D,BOM_Data!$C:$C,"Silicone")</f>
        <v>12.5</v>
      </c>
      <c r="C8" s="10">
        <f t="shared" si="0"/>
        <v>1.8934904071988994E-2</v>
      </c>
      <c r="D8" s="11">
        <f t="shared" si="1"/>
        <v>12500</v>
      </c>
      <c r="E8" s="1" t="s">
        <v>108</v>
      </c>
    </row>
    <row r="9" spans="1:5" x14ac:dyDescent="0.3">
      <c r="A9" s="1" t="s">
        <v>67</v>
      </c>
      <c r="B9" s="9">
        <f>SUMIFS(BOM_Data!$D:$D,BOM_Data!$C:$C,"Tin (solder)")</f>
        <v>4.5999999999999996</v>
      </c>
      <c r="C9" s="10">
        <f t="shared" si="0"/>
        <v>6.9680446984919488E-3</v>
      </c>
      <c r="D9" s="11">
        <f t="shared" si="1"/>
        <v>4600</v>
      </c>
      <c r="E9" s="1" t="s">
        <v>109</v>
      </c>
    </row>
    <row r="10" spans="1:5" x14ac:dyDescent="0.3">
      <c r="A10" s="1" t="s">
        <v>66</v>
      </c>
      <c r="B10" s="9">
        <f>SUMIFS(BOM_Data!$D:$D,BOM_Data!$C:$C,"Silicon")</f>
        <v>2.6999999999999997</v>
      </c>
      <c r="C10" s="10">
        <f t="shared" si="0"/>
        <v>4.0899392795496221E-3</v>
      </c>
      <c r="D10" s="11">
        <f t="shared" si="1"/>
        <v>2699.9999999999995</v>
      </c>
      <c r="E10" s="1" t="s">
        <v>110</v>
      </c>
    </row>
    <row r="11" spans="1:5" x14ac:dyDescent="0.3">
      <c r="A11" s="1" t="s">
        <v>83</v>
      </c>
      <c r="B11" s="9">
        <f>SUMIFS(BOM_Data!$D:$D,BOM_Data!$C:$C,"Mixed terminations")</f>
        <v>10</v>
      </c>
      <c r="C11" s="10">
        <f t="shared" si="0"/>
        <v>1.5147923257591194E-2</v>
      </c>
      <c r="D11" s="11">
        <f t="shared" si="1"/>
        <v>10000</v>
      </c>
      <c r="E11" s="1" t="s">
        <v>111</v>
      </c>
    </row>
    <row r="12" spans="1:5" x14ac:dyDescent="0.3">
      <c r="A12" s="1" t="s">
        <v>62</v>
      </c>
      <c r="B12" s="9">
        <f>SUMIFS(BOM_Data!$D:$D,BOM_Data!$C:$C,"Nickel")</f>
        <v>0.5</v>
      </c>
      <c r="C12" s="10">
        <f t="shared" si="0"/>
        <v>7.5739616287955969E-4</v>
      </c>
      <c r="D12" s="11">
        <f t="shared" si="1"/>
        <v>500</v>
      </c>
      <c r="E12" s="1" t="s">
        <v>112</v>
      </c>
    </row>
    <row r="13" spans="1:5" x14ac:dyDescent="0.3">
      <c r="A13" s="1" t="s">
        <v>78</v>
      </c>
      <c r="B13" s="9">
        <f>SUMIFS(BOM_Data!$D:$D,BOM_Data!$C:$C,"Tantalum")</f>
        <v>0.9</v>
      </c>
      <c r="C13" s="10">
        <f t="shared" si="0"/>
        <v>1.3633130931832076E-3</v>
      </c>
      <c r="D13" s="11">
        <f t="shared" si="1"/>
        <v>900</v>
      </c>
      <c r="E13" s="1" t="s">
        <v>113</v>
      </c>
    </row>
    <row r="14" spans="1:5" x14ac:dyDescent="0.3">
      <c r="A14" s="1" t="s">
        <v>63</v>
      </c>
      <c r="B14" s="9">
        <f>SUMIFS(BOM_Data!$D:$D,BOM_Data!$C:$C,"Gold")</f>
        <v>9.1700000000000004E-2</v>
      </c>
      <c r="C14" s="10">
        <f t="shared" si="0"/>
        <v>1.3890645627211124E-4</v>
      </c>
      <c r="D14" s="11">
        <f t="shared" si="1"/>
        <v>91.7</v>
      </c>
      <c r="E14" s="1" t="s">
        <v>114</v>
      </c>
    </row>
    <row r="15" spans="1:5" x14ac:dyDescent="0.3">
      <c r="A15" s="1" t="s">
        <v>87</v>
      </c>
      <c r="B15" s="9">
        <f>SUMIFS(BOM_Data!$D:$D,BOM_Data!$C:$C,"Silver")</f>
        <v>5.9299999999999999E-2</v>
      </c>
      <c r="C15" s="10">
        <f t="shared" si="0"/>
        <v>8.9827184917515781E-5</v>
      </c>
      <c r="D15" s="11">
        <f t="shared" si="1"/>
        <v>59.3</v>
      </c>
      <c r="E15" s="1" t="s">
        <v>115</v>
      </c>
    </row>
    <row r="16" spans="1:5" x14ac:dyDescent="0.3">
      <c r="A16" s="1" t="s">
        <v>89</v>
      </c>
      <c r="B16" s="9">
        <f>SUMIFS(BOM_Data!$D:$D,BOM_Data!$C:$C,"Palladium")</f>
        <v>5.4999999999999997E-3</v>
      </c>
      <c r="C16" s="10">
        <f t="shared" si="0"/>
        <v>8.3313577916751567E-6</v>
      </c>
      <c r="D16" s="11">
        <f t="shared" si="1"/>
        <v>5.5</v>
      </c>
      <c r="E16" s="1" t="s">
        <v>116</v>
      </c>
    </row>
    <row r="17" spans="1:5" x14ac:dyDescent="0.3">
      <c r="A17" s="1" t="s">
        <v>68</v>
      </c>
      <c r="B17" s="9">
        <f>SUMIFS(BOM_Data!$D:$D,BOM_Data!$C:$C,"Other")</f>
        <v>0.3</v>
      </c>
      <c r="C17" s="10">
        <f t="shared" si="0"/>
        <v>4.544376977277358E-4</v>
      </c>
      <c r="D17" s="11">
        <f t="shared" si="1"/>
        <v>300</v>
      </c>
      <c r="E17" s="1" t="s">
        <v>117</v>
      </c>
    </row>
    <row r="18" spans="1:5" x14ac:dyDescent="0.3">
      <c r="A18" s="2" t="s">
        <v>118</v>
      </c>
      <c r="B18" s="8">
        <f>SUM(B2:B17)</f>
        <v>660.15649999999994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Framework</vt:lpstr>
      <vt:lpstr>BOM_Data</vt:lpstr>
      <vt:lpstr>By_Component</vt:lpstr>
      <vt:lpstr>By_Material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Thiago Pegorer</cp:lastModifiedBy>
  <cp:revision>1</cp:revision>
  <dcterms:created xsi:type="dcterms:W3CDTF">2026-07-24T15:58:22Z</dcterms:created>
  <dcterms:modified xsi:type="dcterms:W3CDTF">2026-07-25T18:24:11Z</dcterms:modified>
  <dc:language>en-US</dc:language>
</cp:coreProperties>
</file>